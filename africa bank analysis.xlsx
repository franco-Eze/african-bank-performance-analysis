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RICAN BANK PERFORMANCE PROJEC" sheetId="1" r:id="rId5"/>
    <sheet state="visible" name="STANDARD BANK ANALYSIS" sheetId="2" r:id="rId6"/>
    <sheet state="visible" name="STANDARD BANK INTERPTRTATION" sheetId="3" r:id="rId7"/>
    <sheet state="visible" name="EQUITY BANK" sheetId="4" r:id="rId8"/>
    <sheet state="visible" name="EQUITY BANK CHART ANALYSIS" sheetId="5" r:id="rId9"/>
    <sheet state="visible" name="EQUITY BANK INTERPTRATION" sheetId="6" r:id="rId10"/>
    <sheet state="visible" name="ACCESS BANK" sheetId="7" r:id="rId11"/>
    <sheet state="visible" name="ACCESS BANK CHART ANALYSIS" sheetId="8" r:id="rId12"/>
    <sheet state="visible" name="ACCESS BANK INTERPTRATION" sheetId="9" r:id="rId13"/>
    <sheet state="visible" name="CIB EGYPT" sheetId="10" r:id="rId14"/>
    <sheet state="visible" name="CIB CHART ANALYSIS" sheetId="11" r:id="rId15"/>
    <sheet state="visible" name="CIB INTERPTRATION" sheetId="12" r:id="rId16"/>
    <sheet state="visible" name="ALL BANK DATA" sheetId="13" r:id="rId17"/>
    <sheet state="visible" name="Pivot Table 10" sheetId="14" r:id="rId18"/>
    <sheet state="visible" name="Pivot Table 9" sheetId="15" r:id="rId19"/>
    <sheet state="visible" name="COMPARATIVE CHART" sheetId="16" r:id="rId20"/>
    <sheet state="visible" name="COMPARATIVE INTERPRETATION" sheetId="17" r:id="rId21"/>
    <sheet state="visible" name="Sheet18" sheetId="18" r:id="rId22"/>
  </sheets>
  <definedNames/>
  <calcPr/>
  <pivotCaches>
    <pivotCache cacheId="0" r:id="rId23"/>
  </pivotCaches>
</workbook>
</file>

<file path=xl/sharedStrings.xml><?xml version="1.0" encoding="utf-8"?>
<sst xmlns="http://schemas.openxmlformats.org/spreadsheetml/2006/main" count="176" uniqueCount="63">
  <si>
    <t>BANK</t>
  </si>
  <si>
    <t>YEAR</t>
  </si>
  <si>
    <t>REVENUE</t>
  </si>
  <si>
    <t>NET PROFIT</t>
  </si>
  <si>
    <t>TOTAL ASSETS</t>
  </si>
  <si>
    <t>SHAREHOLDERS EQUITY</t>
  </si>
  <si>
    <t>ROA</t>
  </si>
  <si>
    <t>ROE</t>
  </si>
  <si>
    <t>STANDARD BANK</t>
  </si>
  <si>
    <t>STANDARD BANK PROFITABILITY ANALYSIS (2018-2023)</t>
  </si>
  <si>
    <t>Standard Bank’s pre-COVID period (2018–2019) experienced strong performance, as both ROA and ROE remained relatively high during this financial period. However, the COVID-19 era (2020) was characterized by a sharp decline in profitability, assets, and overall financial performance, which negatively affected both ROA and ROE compared to previous years. This decline was largely due to the global pandemic, which disrupted economic activities and affected banking operations.</t>
  </si>
  <si>
    <t>EQUITY GROUP HOLDINGS (KENYA)-FINANCIAL DATA</t>
  </si>
  <si>
    <t>ALL FIGURES ARE IN KENYAN SHILLINGS(KES MILLIONS)</t>
  </si>
  <si>
    <t>TOTAL ASSET</t>
  </si>
  <si>
    <t>TOTAL EQUITY</t>
  </si>
  <si>
    <t>EQUITY BANK INTERPTRTATION</t>
  </si>
  <si>
    <t>From the analysis, Equity Group showed strong profitability before the COVID-19 period, especially in 2018 and 2019, where both ROA and ROE were above 3% and 20%. However, in 2020, there was a major decline in profitability due to the COVID-19 pandemic, as both ROA and ROE reduced significantly.</t>
  </si>
  <si>
    <t>The bank recovered strongly in 2021 and continued improving in 2022, which recorded the highest profitability during the period under review. In 2023, profitability declined compared to 2022, but it was still higher than the COVID period. This shows that Equity Group was able to recover from the pandemic and maintain relatively strong performance.</t>
  </si>
  <si>
    <t>ACCESS BANK NIGERIA-FINANCIAL DATA</t>
  </si>
  <si>
    <t>ALL FIGURES ARE IN NIGERIA NAIRA(#)</t>
  </si>
  <si>
    <t>CURRENCY UNIT</t>
  </si>
  <si>
    <t>Access Bank experienced steady growth between 2018 and 2020, with profit increasing gradually and the bank maintaining stable performance during this period. The year 2021 saw a major improvement, as profit increased significantly compared to previous years. This shows that the bank was able to strengthen its operations and improve its earnings.</t>
  </si>
  <si>
    <t>However, in 2022, there was a slight decline in profitability as both ROA and ROE dropped. This indicates that although the bank was still profitable, its efficiency in using assets and shareholders’ funds reduced during that year.</t>
  </si>
  <si>
    <t>The most surprising performance occurred in 2023, when the bank recorded a very large increase in profit. This led to a sharp rise in both ROA and ROE, making it the best performing year within the period under review. This sudden increase suggests that the bank benefited from favorable economic conditions and improved income generation.</t>
  </si>
  <si>
    <t>Overall, Access Bank showed strong growth over the six-year period, with 2023 representing its peak performance.</t>
  </si>
  <si>
    <t>EQUITY</t>
  </si>
  <si>
    <t>Commercial International Bank experienced steady growth between 2018 and 2023, with revenue and profit increasing consistently over the period. This shows that the bank was able to expand its operations and improve its income generation capacity. The bank maintained strong financial performance, supported by continuous growth in both assets and shareholders’ equity.
However, in 2020, there was a slight decline in profit compared to 2019. This could be linked to the economic disruption during the COVID-19 period, which affected many financial institutions. Despite this, the bank remained profitable and was able to recover quickly in the following years.
The most impressive performance occurred in 2023, when the bank recorded a significant increase in both revenue and net profit. This resulted in a noticeable rise in ROA and ROE, indicating that the bank used its assets and shareholders’ funds more efficiently during that year. The strong performance suggests improved operational efficiency and better income generation.
Additionally, total assets and equity increased steadily throughout the period, showing that the bank continued to grow and strengthen its financial position. This also reflects investors’ confidence and the bank’s ability to retain earnings.
Overall, Commercial International Bank showed strong and consistent financial growth over the six-year period, with 2023 representing its best performance.</t>
  </si>
  <si>
    <t>REGION</t>
  </si>
  <si>
    <t>ACCESS BANK</t>
  </si>
  <si>
    <t>WEST AFRICA</t>
  </si>
  <si>
    <t xml:space="preserve">Commercial International Bank </t>
  </si>
  <si>
    <t>NORTH AFRICA</t>
  </si>
  <si>
    <t>EQUITY BANK</t>
  </si>
  <si>
    <t>EAST AFRICA</t>
  </si>
  <si>
    <t>SOUTH AFRICA</t>
  </si>
  <si>
    <t>SUM of NET PROFIT</t>
  </si>
  <si>
    <t>Grand Total</t>
  </si>
  <si>
    <t>AVERAGE of ROA</t>
  </si>
  <si>
    <t>AVERAGE of ROE</t>
  </si>
  <si>
    <t>COMPARATIVE RETURN ON EQUITY (ROE) OF SELECTED AFRICAN BANKS (2018-2023)</t>
  </si>
  <si>
    <t>STANDARD BANK ROE</t>
  </si>
  <si>
    <t>EQUITY BANK ROE</t>
  </si>
  <si>
    <t>ACCESS BANK ROE</t>
  </si>
  <si>
    <t>CIB ROE</t>
  </si>
  <si>
    <t>Figure 4:1</t>
  </si>
  <si>
    <t>INTERPRETATION</t>
  </si>
  <si>
    <t>Access Bank, Equity Bank, Standard Bank, and Commercial International Bank showed noticeable differences in their Return on Equity between 2018 and 2023, reflecting variations in how efficiently each bank utilized shareholders’ funds to generate profit.
From the analysis, Commercial International Bank (CIB) demonstrated the strongest and most consistent performance overall. Although its ROE declined between 2018 and 2020, the bank recovered steadily afterward and recorded its highest level in 2023. This trend suggests that CIB was able to strengthen its profitability and improve its efficiency in using equity over time.
Equity Bank also maintained relatively strong performance throughout the period. Its ROE improved significantly between 2020 and 2022, indicating better utilization of shareholders’ funds. However, a slight decline was observed in 2023, which may suggest temporary operational or market-related challenges affecting its profitability.
Access Bank showed moderate performance during the earlier years, with some fluctuations between 2018 and 2022. However, the bank experienced a significant increase in ROE in 2023, marking its best performance within the period. This sharp improvement indicates stronger profit generation and more efficient use of equity during that year.
In contrast, Standard Bank recorded the lowest ROE among the selected banks throughout the period. Although there were minor improvements in some years, its overall performance remained relatively weak compared to the other banks. This suggests that the bank was less efficient in converting shareholders’ equity into profit.
Overall, Commercial International Bank emerged as the best performing bank based on Return on Equity, while Standard Bank recorded the weakest performance. The findings also indicate that banks operating in North, West, and East Africa showed stronger profitability performance compared to the Southern African bank during the period under review.</t>
  </si>
  <si>
    <t>SOURCES</t>
  </si>
  <si>
    <t>FINANCIAL STATEMENTS OF STANDARD BANK (2018-2023)</t>
  </si>
  <si>
    <t>FINANCIAL STATEMENTS OF EQUITY BANK (2018-2023)</t>
  </si>
  <si>
    <t>FINANCIAL STATEMENTS OF ACCESS BANK (2018-2023)</t>
  </si>
  <si>
    <t>FINANCIAL STATEMENTS OF CIB BANK (2018-2023)</t>
  </si>
  <si>
    <t>COMPARATIVE RETURN  ON ASSET OF SELECTED AFRICAN BANK (2018-2023)</t>
  </si>
  <si>
    <t>STANDARD BANK ROA</t>
  </si>
  <si>
    <t>EQUITY BANK ROA</t>
  </si>
  <si>
    <t>ACCESS BANK ROA</t>
  </si>
  <si>
    <t>CIB ROA</t>
  </si>
  <si>
    <t>Access Bank, Equity Bank, Standard Bank, and Commercial International Bank showed noticeable differences in their Return on Assets between 2018 and 2023, reflecting variations in how efficiently each bank utilised its total assets to generate profit.
From the analysis, Commercial International Bank (CIB) demonstrated the strongest and most consistent asset efficiency overall. Although its ROA declined slightly between 2019 and 2020, the bank recovered steadily and recorded its highest performance in 2023. This suggests that CIB was able to improve its asset utilisation and strengthen its profitability over time.
Equity Bank also maintained relatively strong performance throughout the period. Its ROA remained above most of the other banks in several years, particularly between 2018 and 2022, indicating effective management and utilisation of its asset base. However, a slight decline was observed in 2023, which may reflect changes in operational conditions or expansion effects.
Access Bank showed moderate performance during the earlier years, with lower ROA values between 2019 and 2022. However, a significant improvement was recorded in 2023, where its ROA increased sharply. This indicates that the bank was able to improve its efficiency in generating profit from its assets during that year.
Standard Bank recorded the lowest ROA among the selected banks throughout the period under review. Although there was gradual improvement after 2020, its overall performance remained weaker compared to the other banks. This suggests lower efficiency in utilising its assets to generate profit.
Overall, Commercial International Bank emerged as the most efficient bank in terms of asset utilisation, while Standard Bank showed the weakest performance. The findings also indicate that banks in North, West, and East Africa demonstrated stronger asset efficiency compared to the Southern African bank during the period under review.</t>
  </si>
  <si>
    <t>SOURCES:</t>
  </si>
  <si>
    <t>FINANCIAL STATEMENTS  OF ACCESS BANK (2018-2023(</t>
  </si>
  <si>
    <t>FINANCIAL STATEMENT OS CIB BANK (2028-2023)</t>
  </si>
  <si>
    <t xml:space="preserve">FINAL CONCLUSION </t>
  </si>
  <si>
    <t xml:space="preserve">Based on the analysis of Return on Equity (ROE) and Return on Assets (ROA) of Standard Bank, Equity Bank, Access Bank, and Commercial International Bank between 2018 and 2023, it is clear that the banks demonstrated varying levels of financial performance and efficiency in utilizing their resources.
Commercial International Bank consistently showed the strongest overall performance among the selected banks. Despite experiencing a decline in some years, it maintained relatively high ROE and ROA and recorded significant improvement in 2023. This indicates strong profitability and efficient utilization of both shareholders’ equity and total assets.
Equity Bank also performed well during the period, maintaining stable and relatively high returns, although it experienced some fluctuations. Access Bank showed moderate performance in the earlier years but recorded a significant improvement in 2023, suggesting improved profitability and operational efficiency.
In contrast, Standard Bank recorded the lowest ROE and ROA among the selected banks throughout most of the period. Although there were slight improvements in some years, its overall performance remained weaker compared to the other banks, indicating lower efficiency in generating profit from its assets and equity.
Overall, the findings show that Commercial International Bank was the best performing bank during the period under review, followed by Equity Bank and Access Bank, while Standard Bank recorded the weakest performance. This comparative analysis highlights the importance of efficient utilization of assets and shareholders’ funds in improving bank profitability and overall financial performance.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</si>
</sst>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
    <numFmt numFmtId="165" formatCode="[$£]#,##0.00"/>
  </numFmts>
  <fonts count="40">
    <font>
      <sz val="10.0"/>
      <color rgb="FF000000"/>
      <name val="Arial"/>
      <scheme val="minor"/>
    </font>
    <font>
      <color theme="1"/>
      <name val="Arial"/>
      <scheme val="minor"/>
    </font>
    <font>
      <b/>
      <sz val="8.0"/>
      <color theme="1"/>
      <name val="Arial"/>
    </font>
    <font>
      <b/>
      <sz val="8.0"/>
      <color rgb="FF002DE0"/>
      <name val="Arial"/>
    </font>
    <font>
      <b/>
      <sz val="8.0"/>
      <color rgb="FF005DA9"/>
      <name val="Arial"/>
    </font>
    <font>
      <b/>
      <sz val="8.0"/>
      <color rgb="FF00164E"/>
      <name val="'BentonSans'"/>
    </font>
    <font>
      <b/>
      <sz val="8.0"/>
      <color rgb="FF00164E"/>
      <name val="Arial"/>
    </font>
    <font>
      <b/>
      <sz val="12.0"/>
      <color theme="1"/>
      <name val="Arial"/>
    </font>
    <font>
      <sz val="12.0"/>
      <color theme="1"/>
      <name val="Arial"/>
    </font>
    <font>
      <b/>
      <sz val="14.0"/>
      <color theme="1"/>
      <name val="Arial"/>
    </font>
    <font>
      <b/>
      <i/>
      <sz val="10.0"/>
      <color theme="1"/>
      <name val="Arial"/>
    </font>
    <font>
      <b/>
      <color theme="1"/>
      <name val="Arial"/>
    </font>
    <font>
      <sz val="9.0"/>
      <color theme="1"/>
      <name val="Arial"/>
    </font>
    <font>
      <color theme="1"/>
      <name val="Arial"/>
    </font>
    <font>
      <b/>
      <color theme="1"/>
      <name val="'DINPro'"/>
    </font>
    <font>
      <color theme="1"/>
      <name val="'DINPro'"/>
    </font>
    <font>
      <b/>
      <color theme="1"/>
      <name val="'DIN'"/>
    </font>
    <font>
      <color theme="1"/>
      <name val="'DIN'"/>
    </font>
    <font>
      <b/>
      <sz val="15.0"/>
      <color theme="1"/>
      <name val="Arial"/>
    </font>
    <font>
      <sz val="12.0"/>
      <color theme="1"/>
      <name val="Arial"/>
      <scheme val="minor"/>
    </font>
    <font>
      <b/>
      <i/>
      <sz val="12.0"/>
      <color theme="1"/>
      <name val="Arial"/>
    </font>
    <font>
      <sz val="11.0"/>
      <color theme="1"/>
      <name val="Arial"/>
    </font>
    <font>
      <b/>
      <sz val="8.0"/>
      <color rgb="FF25408F"/>
      <name val="Arial"/>
    </font>
    <font>
      <sz val="8.0"/>
      <color theme="1"/>
      <name val="'EffraCorp'"/>
    </font>
    <font>
      <b/>
      <sz val="8.0"/>
      <color theme="1"/>
      <name val="'EffraCorp'"/>
    </font>
    <font>
      <color rgb="FF333333"/>
      <name val="Arial"/>
    </font>
    <font>
      <b/>
      <color rgb="FF333333"/>
      <name val="Arial"/>
    </font>
    <font>
      <sz val="10.0"/>
      <color theme="1"/>
      <name val="Arial"/>
      <scheme val="minor"/>
    </font>
    <font>
      <b/>
      <i/>
      <color rgb="FF0000FF"/>
      <name val="Arial"/>
      <scheme val="minor"/>
    </font>
    <font>
      <color rgb="FF414042"/>
      <name val="Arial"/>
    </font>
    <font>
      <b/>
      <sz val="15.0"/>
      <color theme="1"/>
      <name val="Arial"/>
      <scheme val="minor"/>
    </font>
    <font>
      <b/>
      <i/>
      <sz val="12.0"/>
      <color theme="1"/>
      <name val="Arial"/>
      <scheme val="minor"/>
    </font>
    <font>
      <b/>
      <i/>
      <sz val="14.0"/>
      <color theme="1"/>
      <name val="Arial"/>
    </font>
    <font>
      <b/>
      <i/>
      <sz val="14.0"/>
      <color theme="1"/>
      <name val="Arial"/>
      <scheme val="minor"/>
    </font>
    <font>
      <sz val="13.0"/>
      <color theme="1"/>
      <name val="Arial"/>
    </font>
    <font>
      <b/>
      <i/>
      <sz val="16.0"/>
      <color theme="1"/>
      <name val="Arial"/>
    </font>
    <font>
      <sz val="14.0"/>
      <color theme="1"/>
      <name val="Arial"/>
    </font>
    <font>
      <sz val="14.0"/>
      <color theme="1"/>
      <name val="Arial"/>
      <scheme val="minor"/>
    </font>
    <font>
      <b/>
      <i/>
      <sz val="15.0"/>
      <color theme="1"/>
      <name val="Arial"/>
      <scheme val="minor"/>
    </font>
    <font>
      <b/>
      <i/>
      <color theme="1"/>
      <name val="Arial"/>
      <scheme val="minor"/>
    </font>
  </fonts>
  <fills count="9">
    <fill>
      <patternFill patternType="none"/>
    </fill>
    <fill>
      <patternFill patternType="lightGray"/>
    </fill>
    <fill>
      <patternFill patternType="solid">
        <fgColor rgb="FFF0FFFF"/>
        <bgColor rgb="FFF0FFFF"/>
      </patternFill>
    </fill>
    <fill>
      <patternFill patternType="solid">
        <fgColor rgb="FFF2EDE8"/>
        <bgColor rgb="FFF2EDE8"/>
      </patternFill>
    </fill>
    <fill>
      <patternFill patternType="solid">
        <fgColor rgb="FFD8DCDF"/>
        <bgColor rgb="FFD8DCDF"/>
      </patternFill>
    </fill>
    <fill>
      <patternFill patternType="solid">
        <fgColor rgb="FFFFFFFF"/>
        <bgColor rgb="FFFFFFFF"/>
      </patternFill>
    </fill>
    <fill>
      <patternFill patternType="solid">
        <fgColor rgb="FFF6EDE9"/>
        <bgColor rgb="FFF6EDE9"/>
      </patternFill>
    </fill>
    <fill>
      <patternFill patternType="solid">
        <fgColor rgb="FFE4EB9A"/>
        <bgColor rgb="FFE4EB9A"/>
      </patternFill>
    </fill>
    <fill>
      <patternFill patternType="solid">
        <fgColor rgb="FF00FF00"/>
        <bgColor rgb="FF00FF00"/>
      </patternFill>
    </fill>
  </fills>
  <borders count="17">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readingOrder="0"/>
    </xf>
    <xf borderId="0" fillId="0" fontId="1" numFmtId="4" xfId="0" applyAlignment="1" applyFont="1" applyNumberFormat="1">
      <alignment readingOrder="0"/>
    </xf>
    <xf borderId="0" fillId="0" fontId="1" numFmtId="10" xfId="0" applyFont="1" applyNumberFormat="1"/>
    <xf borderId="0" fillId="2" fontId="2" numFmtId="0" xfId="0" applyAlignment="1" applyFill="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1" numFmtId="10" xfId="0" applyAlignment="1" applyFont="1" applyNumberForma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0" fontId="1" numFmtId="0" xfId="0" applyAlignment="1" applyFont="1">
      <alignment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3" fontId="11" numFmtId="4" xfId="0" applyAlignment="1" applyFill="1" applyFont="1" applyNumberFormat="1">
      <alignment readingOrder="0"/>
    </xf>
    <xf borderId="0" fillId="4" fontId="12" numFmtId="4" xfId="0" applyAlignment="1" applyFill="1" applyFont="1" applyNumberFormat="1">
      <alignment readingOrder="0"/>
    </xf>
    <xf borderId="0" fillId="5" fontId="13" numFmtId="4" xfId="0" applyAlignment="1" applyFill="1" applyFont="1" applyNumberFormat="1">
      <alignment readingOrder="0"/>
    </xf>
    <xf borderId="0" fillId="0" fontId="14" numFmtId="3" xfId="0" applyAlignment="1" applyFont="1" applyNumberFormat="1">
      <alignment readingOrder="0"/>
    </xf>
    <xf borderId="0" fillId="0" fontId="15" numFmtId="3" xfId="0" applyAlignment="1" applyFont="1" applyNumberFormat="1">
      <alignment readingOrder="0"/>
    </xf>
    <xf borderId="0" fillId="6" fontId="16" numFmtId="3" xfId="0" applyAlignment="1" applyFill="1" applyFont="1" applyNumberFormat="1">
      <alignment readingOrder="0"/>
    </xf>
    <xf borderId="0" fillId="6" fontId="17" numFmtId="3" xfId="0" applyAlignment="1" applyFont="1" applyNumberFormat="1">
      <alignment readingOrder="0"/>
    </xf>
    <xf borderId="0" fillId="0" fontId="1" numFmtId="9" xfId="0" applyAlignment="1" applyFont="1" applyNumberFormat="1">
      <alignment readingOrder="0"/>
    </xf>
    <xf borderId="0" fillId="0" fontId="18" numFmtId="0" xfId="0" applyAlignment="1" applyFont="1">
      <alignment readingOrder="0" shrinkToFit="0" wrapText="1"/>
    </xf>
    <xf borderId="0" fillId="0" fontId="19" numFmtId="0" xfId="0" applyAlignment="1" applyFont="1">
      <alignment readingOrder="0" shrinkToFit="0" wrapText="1"/>
    </xf>
    <xf borderId="0" fillId="0" fontId="20" numFmtId="0" xfId="0" applyAlignment="1" applyFont="1">
      <alignment readingOrder="0" shrinkToFit="0" wrapText="1"/>
    </xf>
    <xf borderId="0" fillId="0" fontId="21" numFmtId="0" xfId="0" applyAlignment="1" applyFont="1">
      <alignment readingOrder="0" shrinkToFit="0" wrapText="1"/>
    </xf>
    <xf borderId="0" fillId="0" fontId="1" numFmtId="164" xfId="0" applyAlignment="1" applyFont="1" applyNumberFormat="1">
      <alignment readingOrder="0"/>
    </xf>
    <xf borderId="0" fillId="0" fontId="22" numFmtId="3" xfId="0" applyAlignment="1" applyFont="1" applyNumberFormat="1">
      <alignment readingOrder="0"/>
    </xf>
    <xf borderId="0" fillId="0" fontId="2" numFmtId="3" xfId="0" applyAlignment="1" applyFont="1" applyNumberFormat="1">
      <alignment readingOrder="0"/>
    </xf>
    <xf borderId="0" fillId="7" fontId="23" numFmtId="3" xfId="0" applyAlignment="1" applyFill="1" applyFont="1" applyNumberFormat="1">
      <alignment readingOrder="0"/>
    </xf>
    <xf borderId="0" fillId="7" fontId="24" numFmtId="3" xfId="0" applyAlignment="1" applyFont="1" applyNumberFormat="1">
      <alignment readingOrder="0"/>
    </xf>
    <xf borderId="0" fillId="0" fontId="24" numFmtId="3" xfId="0" applyAlignment="1" applyFont="1" applyNumberFormat="1">
      <alignment readingOrder="0"/>
    </xf>
    <xf borderId="0" fillId="0" fontId="24" numFmtId="0" xfId="0" applyAlignment="1" applyFont="1">
      <alignment readingOrder="0"/>
    </xf>
    <xf borderId="0" fillId="0" fontId="1" numFmtId="0" xfId="0" applyAlignment="1" applyFont="1">
      <alignment readingOrder="0" shrinkToFit="0" wrapText="1"/>
    </xf>
    <xf borderId="0" fillId="0" fontId="1" numFmtId="165" xfId="0" applyAlignment="1" applyFont="1" applyNumberFormat="1">
      <alignment readingOrder="0"/>
    </xf>
    <xf borderId="0" fillId="0" fontId="25" numFmtId="3" xfId="0" applyAlignment="1" applyFont="1" applyNumberFormat="1">
      <alignment readingOrder="0"/>
    </xf>
    <xf borderId="0" fillId="0" fontId="26" numFmtId="3" xfId="0" applyAlignment="1" applyFont="1" applyNumberFormat="1">
      <alignment readingOrder="0"/>
    </xf>
    <xf borderId="0" fillId="0" fontId="11" numFmtId="3" xfId="0" applyAlignment="1" applyFont="1" applyNumberFormat="1">
      <alignment readingOrder="0"/>
    </xf>
    <xf borderId="0" fillId="0" fontId="1" numFmtId="165" xfId="0" applyFont="1" applyNumberFormat="1"/>
    <xf borderId="0" fillId="0" fontId="27" numFmtId="0" xfId="0" applyAlignment="1" applyFont="1">
      <alignment readingOrder="0" shrinkToFit="0" wrapText="1"/>
    </xf>
    <xf borderId="1" fillId="0" fontId="28" numFmtId="0" xfId="0" applyAlignment="1" applyBorder="1" applyFont="1">
      <alignment readingOrder="0"/>
    </xf>
    <xf borderId="2" fillId="0" fontId="28" numFmtId="0" xfId="0" applyAlignment="1" applyBorder="1" applyFont="1">
      <alignment readingOrder="0"/>
    </xf>
    <xf borderId="3" fillId="0" fontId="28" numFmtId="0" xfId="0" applyAlignment="1" applyBorder="1" applyFont="1">
      <alignment readingOrder="0"/>
    </xf>
    <xf borderId="0" fillId="0" fontId="28" numFmtId="0" xfId="0" applyFont="1"/>
    <xf borderId="1" fillId="0" fontId="1" numFmtId="0" xfId="0" applyAlignment="1" applyBorder="1" applyFont="1">
      <alignment readingOrder="0"/>
    </xf>
    <xf borderId="2" fillId="0" fontId="1" numFmtId="0" xfId="0" applyAlignment="1" applyBorder="1" applyFont="1">
      <alignment readingOrder="0"/>
    </xf>
    <xf borderId="2" fillId="0" fontId="1" numFmtId="10" xfId="0" applyBorder="1" applyFont="1" applyNumberFormat="1"/>
    <xf borderId="3" fillId="0" fontId="1" numFmtId="10" xfId="0" applyBorder="1" applyFont="1" applyNumberFormat="1"/>
    <xf borderId="4" fillId="0" fontId="1" numFmtId="0" xfId="0" applyAlignment="1" applyBorder="1" applyFont="1">
      <alignment readingOrder="0"/>
    </xf>
    <xf borderId="5" fillId="0" fontId="1" numFmtId="10" xfId="0" applyBorder="1" applyFont="1" applyNumberFormat="1"/>
    <xf borderId="6" fillId="0" fontId="1" numFmtId="0" xfId="0" applyAlignment="1" applyBorder="1" applyFont="1">
      <alignment readingOrder="0"/>
    </xf>
    <xf borderId="7" fillId="0" fontId="1" numFmtId="0" xfId="0" applyAlignment="1" applyBorder="1" applyFont="1">
      <alignment readingOrder="0"/>
    </xf>
    <xf borderId="7" fillId="0" fontId="1" numFmtId="10" xfId="0" applyBorder="1" applyFont="1" applyNumberFormat="1"/>
    <xf borderId="8" fillId="0" fontId="1" numFmtId="10" xfId="0" applyBorder="1" applyFont="1" applyNumberFormat="1"/>
    <xf borderId="3" fillId="0" fontId="1" numFmtId="10" xfId="0" applyAlignment="1" applyBorder="1" applyFont="1" applyNumberFormat="1">
      <alignment readingOrder="0"/>
    </xf>
    <xf borderId="4" fillId="0" fontId="29" numFmtId="0" xfId="0" applyAlignment="1" applyBorder="1" applyFont="1">
      <alignment readingOrder="0"/>
    </xf>
    <xf borderId="6" fillId="0" fontId="29" numFmtId="0" xfId="0" applyAlignment="1" applyBorder="1" applyFont="1">
      <alignment readingOrder="0"/>
    </xf>
    <xf borderId="7" fillId="0" fontId="11" numFmtId="3" xfId="0" applyAlignment="1" applyBorder="1" applyFont="1" applyNumberFormat="1">
      <alignment readingOrder="0"/>
    </xf>
    <xf borderId="2" fillId="0" fontId="1" numFmtId="4" xfId="0" applyAlignment="1" applyBorder="1" applyFont="1" applyNumberFormat="1">
      <alignment readingOrder="0"/>
    </xf>
    <xf borderId="9" fillId="0" fontId="1" numFmtId="0" xfId="0" applyAlignment="1" applyBorder="1" applyFont="1">
      <alignment readingOrder="0"/>
    </xf>
    <xf borderId="10" fillId="0" fontId="1" numFmtId="0" xfId="0" applyAlignment="1" applyBorder="1" applyFont="1">
      <alignment readingOrder="0"/>
    </xf>
    <xf borderId="10" fillId="0" fontId="1" numFmtId="4" xfId="0" applyAlignment="1" applyBorder="1" applyFont="1" applyNumberFormat="1">
      <alignment readingOrder="0"/>
    </xf>
    <xf borderId="10" fillId="0" fontId="1" numFmtId="10" xfId="0" applyBorder="1" applyFont="1" applyNumberFormat="1"/>
    <xf borderId="11" fillId="0" fontId="1" numFmtId="10" xfId="0" applyBorder="1" applyFont="1" applyNumberFormat="1"/>
    <xf borderId="12" fillId="0" fontId="1" numFmtId="0" xfId="0" applyAlignment="1" applyBorder="1" applyFont="1">
      <alignment readingOrder="0"/>
    </xf>
    <xf borderId="13" fillId="0" fontId="1" numFmtId="10" xfId="0" applyBorder="1" applyFont="1" applyNumberFormat="1"/>
    <xf borderId="14" fillId="0" fontId="1" numFmtId="0" xfId="0" applyAlignment="1" applyBorder="1" applyFont="1">
      <alignment readingOrder="0"/>
    </xf>
    <xf borderId="15" fillId="0" fontId="1" numFmtId="0" xfId="0" applyAlignment="1" applyBorder="1" applyFont="1">
      <alignment readingOrder="0"/>
    </xf>
    <xf borderId="15" fillId="0" fontId="4" numFmtId="0" xfId="0" applyAlignment="1" applyBorder="1" applyFont="1">
      <alignment readingOrder="0"/>
    </xf>
    <xf borderId="15" fillId="0" fontId="1" numFmtId="10" xfId="0" applyBorder="1" applyFont="1" applyNumberFormat="1"/>
    <xf borderId="16" fillId="0" fontId="1" numFmtId="10" xfId="0" applyBorder="1" applyFont="1" applyNumberFormat="1"/>
    <xf borderId="0" fillId="0" fontId="1" numFmtId="0" xfId="0" applyFont="1"/>
    <xf borderId="0" fillId="0" fontId="1" numFmtId="3" xfId="0" applyFont="1" applyNumberFormat="1"/>
    <xf borderId="0" fillId="0" fontId="1" numFmtId="4" xfId="0" applyFont="1" applyNumberFormat="1"/>
    <xf borderId="0" fillId="0" fontId="30" numFmtId="0" xfId="0" applyAlignment="1" applyFont="1">
      <alignment horizontal="left" readingOrder="0" vertical="center"/>
    </xf>
    <xf borderId="0" fillId="8" fontId="31" numFmtId="0" xfId="0" applyAlignment="1" applyFill="1" applyFont="1">
      <alignment readingOrder="0"/>
    </xf>
    <xf borderId="0" fillId="8" fontId="31" numFmtId="0" xfId="0" applyFont="1"/>
    <xf borderId="0" fillId="4" fontId="12" numFmtId="10" xfId="0" applyFont="1" applyNumberFormat="1"/>
    <xf borderId="0" fillId="0" fontId="22" numFmtId="10" xfId="0" applyFont="1" applyNumberFormat="1"/>
    <xf borderId="0" fillId="5" fontId="13" numFmtId="10" xfId="0" applyFont="1" applyNumberFormat="1"/>
    <xf borderId="0" fillId="0" fontId="2" numFmtId="10" xfId="0" applyFont="1" applyNumberFormat="1"/>
    <xf borderId="0" fillId="0" fontId="32" numFmtId="0" xfId="0" applyAlignment="1" applyFont="1">
      <alignment readingOrder="0" shrinkToFit="0" wrapText="1"/>
    </xf>
    <xf borderId="0" fillId="0" fontId="33" numFmtId="0" xfId="0" applyAlignment="1" applyFont="1">
      <alignment shrinkToFit="0" wrapText="1"/>
    </xf>
    <xf borderId="0" fillId="0" fontId="34" numFmtId="0" xfId="0" applyAlignment="1" applyFont="1">
      <alignment readingOrder="0" shrinkToFit="0" wrapText="1"/>
    </xf>
    <xf borderId="0" fillId="0" fontId="20" numFmtId="0" xfId="0" applyAlignment="1" applyFont="1">
      <alignment horizontal="center" readingOrder="0" shrinkToFit="0" wrapText="1"/>
    </xf>
    <xf borderId="0" fillId="0" fontId="35" numFmtId="0" xfId="0" applyAlignment="1" applyFont="1">
      <alignment horizontal="center" readingOrder="0" shrinkToFit="0" wrapText="1"/>
    </xf>
    <xf borderId="0" fillId="8" fontId="20" numFmtId="0" xfId="0" applyAlignment="1" applyFont="1">
      <alignment readingOrder="0" shrinkToFit="0" wrapText="1"/>
    </xf>
    <xf borderId="0" fillId="8" fontId="31" numFmtId="0" xfId="0" applyAlignment="1" applyFont="1">
      <alignment readingOrder="0" shrinkToFit="0" wrapText="1"/>
    </xf>
    <xf borderId="0" fillId="0" fontId="36" numFmtId="0" xfId="0" applyAlignment="1" applyFont="1">
      <alignment readingOrder="0" shrinkToFit="0" wrapText="1"/>
    </xf>
    <xf borderId="0" fillId="0" fontId="37" numFmtId="10" xfId="0" applyFont="1" applyNumberFormat="1"/>
    <xf borderId="0" fillId="0" fontId="37" numFmtId="10" xfId="0" applyAlignment="1" applyFont="1" applyNumberFormat="1">
      <alignment shrinkToFit="0" wrapText="1"/>
    </xf>
    <xf borderId="0" fillId="0" fontId="36" numFmtId="10" xfId="0" applyAlignment="1" applyFont="1" applyNumberFormat="1">
      <alignment shrinkToFit="0" wrapText="1"/>
    </xf>
    <xf borderId="0" fillId="0" fontId="37" numFmtId="0" xfId="0" applyAlignment="1" applyFont="1">
      <alignment readingOrder="0"/>
    </xf>
    <xf borderId="0" fillId="0" fontId="38" numFmtId="0" xfId="0" applyAlignment="1" applyFont="1">
      <alignment horizontal="center" readingOrder="0"/>
    </xf>
    <xf borderId="0" fillId="0" fontId="1" numFmtId="0" xfId="0" applyAlignment="1" applyFont="1">
      <alignment horizontal="center"/>
    </xf>
    <xf borderId="0" fillId="0" fontId="39" numFmtId="0" xfId="0" applyAlignment="1" applyFont="1">
      <alignment horizontal="center" readingOrder="0"/>
    </xf>
    <xf borderId="0" fillId="0" fontId="39" numFmtId="0" xfId="0" applyAlignment="1" applyFont="1">
      <alignment horizontal="center"/>
    </xf>
    <xf borderId="0" fillId="0" fontId="32"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STANDARD BANK ROE TREND(2018-2023)</a:t>
            </a:r>
          </a:p>
        </c:rich>
      </c:tx>
      <c:overlay val="0"/>
    </c:title>
    <c:plotArea>
      <c:layout/>
      <c:lineChart>
        <c:varyColors val="0"/>
        <c:ser>
          <c:idx val="0"/>
          <c:order val="0"/>
          <c:tx>
            <c:strRef>
              <c:f>'STANDARD BANK ANALYSIS'!$C$1</c:f>
            </c:strRef>
          </c:tx>
          <c:spPr>
            <a:ln cmpd="sng">
              <a:solidFill>
                <a:srgbClr val="4285F4"/>
              </a:solidFill>
            </a:ln>
          </c:spPr>
          <c:marker>
            <c:symbol val="none"/>
          </c:marker>
          <c:cat>
            <c:strRef>
              <c:f>'STANDARD BANK ANALYSIS'!$A$2:$A$7</c:f>
            </c:strRef>
          </c:cat>
          <c:val>
            <c:numRef>
              <c:f>'STANDARD BANK ANALYSIS'!$C$2:$C$7</c:f>
              <c:numCache/>
            </c:numRef>
          </c:val>
          <c:smooth val="0"/>
        </c:ser>
        <c:axId val="584548633"/>
        <c:axId val="866650460"/>
      </c:lineChart>
      <c:catAx>
        <c:axId val="5845486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66650460"/>
      </c:catAx>
      <c:valAx>
        <c:axId val="866650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8454863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STANDARD BANK ROA 2018-2023</a:t>
            </a:r>
          </a:p>
        </c:rich>
      </c:tx>
      <c:overlay val="0"/>
    </c:title>
    <c:plotArea>
      <c:layout/>
      <c:lineChart>
        <c:varyColors val="0"/>
        <c:ser>
          <c:idx val="0"/>
          <c:order val="0"/>
          <c:tx>
            <c:strRef>
              <c:f>'STANDARD BANK ANALYSIS'!$B$1</c:f>
            </c:strRef>
          </c:tx>
          <c:spPr>
            <a:ln cmpd="sng">
              <a:solidFill>
                <a:srgbClr val="4285F4"/>
              </a:solidFill>
            </a:ln>
          </c:spPr>
          <c:marker>
            <c:symbol val="none"/>
          </c:marker>
          <c:cat>
            <c:strRef>
              <c:f>'STANDARD BANK ANALYSIS'!$A$2:$A$7</c:f>
            </c:strRef>
          </c:cat>
          <c:val>
            <c:numRef>
              <c:f>'STANDARD BANK ANALYSIS'!$B$2:$B$7</c:f>
              <c:numCache/>
            </c:numRef>
          </c:val>
          <c:smooth val="0"/>
        </c:ser>
        <c:axId val="704224113"/>
        <c:axId val="754725234"/>
      </c:lineChart>
      <c:catAx>
        <c:axId val="7042241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754725234"/>
      </c:catAx>
      <c:valAx>
        <c:axId val="7547252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0422411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EQUITY BANK ROA 2018-2023</a:t>
            </a:r>
          </a:p>
        </c:rich>
      </c:tx>
      <c:overlay val="0"/>
    </c:title>
    <c:plotArea>
      <c:layout/>
      <c:lineChart>
        <c:varyColors val="0"/>
        <c:ser>
          <c:idx val="0"/>
          <c:order val="0"/>
          <c:tx>
            <c:strRef>
              <c:f>'EQUITY BANK CHART ANALYSIS'!$B$1</c:f>
            </c:strRef>
          </c:tx>
          <c:spPr>
            <a:ln cmpd="sng">
              <a:solidFill>
                <a:srgbClr val="4285F4"/>
              </a:solidFill>
            </a:ln>
          </c:spPr>
          <c:marker>
            <c:symbol val="none"/>
          </c:marker>
          <c:cat>
            <c:strRef>
              <c:f>'EQUITY BANK CHART ANALYSIS'!$A$2:$A$7</c:f>
            </c:strRef>
          </c:cat>
          <c:val>
            <c:numRef>
              <c:f>'EQUITY BANK CHART ANALYSIS'!$B$2:$B$7</c:f>
              <c:numCache/>
            </c:numRef>
          </c:val>
          <c:smooth val="0"/>
        </c:ser>
        <c:axId val="150443987"/>
        <c:axId val="1352846980"/>
      </c:lineChart>
      <c:catAx>
        <c:axId val="1504439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352846980"/>
      </c:catAx>
      <c:valAx>
        <c:axId val="13528469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44398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EQUITY BANK ROE 2018-2023</a:t>
            </a:r>
          </a:p>
        </c:rich>
      </c:tx>
      <c:overlay val="0"/>
    </c:title>
    <c:plotArea>
      <c:layout/>
      <c:lineChart>
        <c:varyColors val="0"/>
        <c:ser>
          <c:idx val="0"/>
          <c:order val="0"/>
          <c:tx>
            <c:strRef>
              <c:f>'EQUITY BANK CHART ANALYSIS'!$C$1</c:f>
            </c:strRef>
          </c:tx>
          <c:spPr>
            <a:ln cmpd="sng">
              <a:solidFill>
                <a:srgbClr val="4285F4"/>
              </a:solidFill>
            </a:ln>
          </c:spPr>
          <c:marker>
            <c:symbol val="none"/>
          </c:marker>
          <c:cat>
            <c:strRef>
              <c:f>'EQUITY BANK CHART ANALYSIS'!$A$2:$A$7</c:f>
            </c:strRef>
          </c:cat>
          <c:val>
            <c:numRef>
              <c:f>'EQUITY BANK CHART ANALYSIS'!$C$2:$C$7</c:f>
              <c:numCache/>
            </c:numRef>
          </c:val>
          <c:smooth val="0"/>
        </c:ser>
        <c:axId val="755354936"/>
        <c:axId val="1597524041"/>
      </c:lineChart>
      <c:catAx>
        <c:axId val="7553549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597524041"/>
      </c:catAx>
      <c:valAx>
        <c:axId val="15975240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535493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ACCESS BANK ROA 2018-2023</a:t>
            </a:r>
          </a:p>
        </c:rich>
      </c:tx>
      <c:overlay val="0"/>
    </c:title>
    <c:plotArea>
      <c:layout/>
      <c:lineChart>
        <c:varyColors val="0"/>
        <c:ser>
          <c:idx val="0"/>
          <c:order val="0"/>
          <c:tx>
            <c:strRef>
              <c:f>'ACCESS BANK CHART ANALYSIS'!$B$1</c:f>
            </c:strRef>
          </c:tx>
          <c:spPr>
            <a:ln cmpd="sng">
              <a:solidFill>
                <a:srgbClr val="4285F4"/>
              </a:solidFill>
            </a:ln>
          </c:spPr>
          <c:marker>
            <c:symbol val="none"/>
          </c:marker>
          <c:cat>
            <c:strRef>
              <c:f>'ACCESS BANK CHART ANALYSIS'!$A$2:$A$7</c:f>
            </c:strRef>
          </c:cat>
          <c:val>
            <c:numRef>
              <c:f>'ACCESS BANK CHART ANALYSIS'!$B$2:$B$7</c:f>
              <c:numCache/>
            </c:numRef>
          </c:val>
          <c:smooth val="0"/>
        </c:ser>
        <c:axId val="2077853139"/>
        <c:axId val="2037913596"/>
      </c:lineChart>
      <c:catAx>
        <c:axId val="20778531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2037913596"/>
      </c:catAx>
      <c:valAx>
        <c:axId val="20379135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7853139"/>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ACCESS BANK ROE 2018-2023</a:t>
            </a:r>
          </a:p>
        </c:rich>
      </c:tx>
      <c:overlay val="0"/>
    </c:title>
    <c:plotArea>
      <c:layout/>
      <c:lineChart>
        <c:varyColors val="0"/>
        <c:ser>
          <c:idx val="0"/>
          <c:order val="0"/>
          <c:tx>
            <c:strRef>
              <c:f>'ACCESS BANK CHART ANALYSIS'!$C$1</c:f>
            </c:strRef>
          </c:tx>
          <c:spPr>
            <a:ln cmpd="sng">
              <a:solidFill>
                <a:srgbClr val="4285F4"/>
              </a:solidFill>
            </a:ln>
          </c:spPr>
          <c:marker>
            <c:symbol val="none"/>
          </c:marker>
          <c:cat>
            <c:strRef>
              <c:f>'ACCESS BANK CHART ANALYSIS'!$A$2:$A$7</c:f>
            </c:strRef>
          </c:cat>
          <c:val>
            <c:numRef>
              <c:f>'ACCESS BANK CHART ANALYSIS'!$C$2:$C$7</c:f>
              <c:numCache/>
            </c:numRef>
          </c:val>
          <c:smooth val="0"/>
        </c:ser>
        <c:axId val="1988173905"/>
        <c:axId val="877934697"/>
      </c:lineChart>
      <c:catAx>
        <c:axId val="19881739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877934697"/>
      </c:catAx>
      <c:valAx>
        <c:axId val="8779346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8817390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CIB ROA 2018-2023</a:t>
            </a:r>
          </a:p>
        </c:rich>
      </c:tx>
      <c:overlay val="0"/>
    </c:title>
    <c:plotArea>
      <c:layout/>
      <c:lineChart>
        <c:varyColors val="0"/>
        <c:ser>
          <c:idx val="0"/>
          <c:order val="0"/>
          <c:tx>
            <c:strRef>
              <c:f>'CIB CHART ANALYSIS'!$B$1</c:f>
            </c:strRef>
          </c:tx>
          <c:spPr>
            <a:ln cmpd="sng">
              <a:solidFill>
                <a:srgbClr val="4285F4"/>
              </a:solidFill>
            </a:ln>
          </c:spPr>
          <c:marker>
            <c:symbol val="none"/>
          </c:marker>
          <c:cat>
            <c:strRef>
              <c:f>'CIB CHART ANALYSIS'!$A$2:$A$7</c:f>
            </c:strRef>
          </c:cat>
          <c:val>
            <c:numRef>
              <c:f>'CIB CHART ANALYSIS'!$B$2:$B$7</c:f>
              <c:numCache/>
            </c:numRef>
          </c:val>
          <c:smooth val="0"/>
        </c:ser>
        <c:axId val="2046624745"/>
        <c:axId val="1438819248"/>
      </c:lineChart>
      <c:catAx>
        <c:axId val="2046624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438819248"/>
      </c:catAx>
      <c:valAx>
        <c:axId val="14388192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662474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CIB ROE 2018-2023</a:t>
            </a:r>
          </a:p>
        </c:rich>
      </c:tx>
      <c:overlay val="0"/>
    </c:title>
    <c:plotArea>
      <c:layout/>
      <c:lineChart>
        <c:varyColors val="0"/>
        <c:ser>
          <c:idx val="0"/>
          <c:order val="0"/>
          <c:tx>
            <c:strRef>
              <c:f>'CIB CHART ANALYSIS'!$C$1</c:f>
            </c:strRef>
          </c:tx>
          <c:spPr>
            <a:ln cmpd="sng">
              <a:solidFill>
                <a:srgbClr val="4285F4"/>
              </a:solidFill>
            </a:ln>
          </c:spPr>
          <c:marker>
            <c:symbol val="none"/>
          </c:marker>
          <c:cat>
            <c:strRef>
              <c:f>'CIB CHART ANALYSIS'!$A$2:$A$7</c:f>
            </c:strRef>
          </c:cat>
          <c:val>
            <c:numRef>
              <c:f>'CIB CHART ANALYSIS'!$C$2:$C$7</c:f>
              <c:numCache/>
            </c:numRef>
          </c:val>
          <c:smooth val="0"/>
        </c:ser>
        <c:axId val="1012439587"/>
        <c:axId val="327760321"/>
      </c:lineChart>
      <c:catAx>
        <c:axId val="10124395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327760321"/>
      </c:catAx>
      <c:valAx>
        <c:axId val="3277603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ROE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2439587"/>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 Table 10'!$A$3</c:f>
            </c:strRef>
          </c:tx>
          <c:spPr>
            <a:ln cmpd="sng">
              <a:solidFill>
                <a:srgbClr val="4285F4"/>
              </a:solidFill>
            </a:ln>
          </c:spPr>
          <c:marker>
            <c:symbol val="none"/>
          </c:marker>
          <c:cat>
            <c:strRef>
              <c:f>'Pivot Table 10'!$C$2:$G$2</c:f>
            </c:strRef>
          </c:cat>
          <c:val>
            <c:numRef>
              <c:f>'Pivot Table 10'!$B$3:$G$3</c:f>
              <c:numCache/>
            </c:numRef>
          </c:val>
          <c:smooth val="1"/>
        </c:ser>
        <c:ser>
          <c:idx val="2"/>
          <c:order val="2"/>
          <c:tx>
            <c:strRef>
              <c:f>'Pivot Table 10'!$A$5</c:f>
            </c:strRef>
          </c:tx>
          <c:spPr>
            <a:ln cmpd="sng">
              <a:solidFill>
                <a:srgbClr val="FBBC04"/>
              </a:solidFill>
            </a:ln>
          </c:spPr>
          <c:marker>
            <c:symbol val="none"/>
          </c:marker>
          <c:cat>
            <c:strRef>
              <c:f>'Pivot Table 10'!$C$2:$G$2</c:f>
            </c:strRef>
          </c:cat>
          <c:val>
            <c:numRef>
              <c:f>'Pivot Table 10'!$B$5:$G$5</c:f>
              <c:numCache/>
            </c:numRef>
          </c:val>
          <c:smooth val="1"/>
        </c:ser>
        <c:ser>
          <c:idx val="3"/>
          <c:order val="3"/>
          <c:tx>
            <c:strRef>
              <c:f>'Pivot Table 10'!$A$6</c:f>
            </c:strRef>
          </c:tx>
          <c:spPr>
            <a:ln cmpd="sng">
              <a:solidFill>
                <a:srgbClr val="34A853"/>
              </a:solidFill>
            </a:ln>
          </c:spPr>
          <c:marker>
            <c:symbol val="none"/>
          </c:marker>
          <c:cat>
            <c:strRef>
              <c:f>'Pivot Table 10'!$C$2:$G$2</c:f>
            </c:strRef>
          </c:cat>
          <c:val>
            <c:numRef>
              <c:f>'Pivot Table 10'!$B$6:$G$6</c:f>
              <c:numCache/>
            </c:numRef>
          </c:val>
          <c:smooth val="1"/>
        </c:ser>
        <c:axId val="1339645257"/>
        <c:axId val="121546304"/>
      </c:lineChart>
      <c:catAx>
        <c:axId val="13396452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1546304"/>
      </c:catAx>
      <c:valAx>
        <c:axId val="1215463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39645257"/>
      </c:valAx>
      <c:lineChart>
        <c:varyColors val="0"/>
        <c:ser>
          <c:idx val="1"/>
          <c:order val="1"/>
          <c:tx>
            <c:strRef>
              <c:f>'Pivot Table 10'!$A$4</c:f>
            </c:strRef>
          </c:tx>
          <c:spPr>
            <a:ln cmpd="sng">
              <a:solidFill>
                <a:srgbClr val="EA4335"/>
              </a:solidFill>
            </a:ln>
          </c:spPr>
          <c:marker>
            <c:symbol val="none"/>
          </c:marker>
          <c:cat>
            <c:strRef>
              <c:f>'Pivot Table 10'!$C$2:$G$2</c:f>
            </c:strRef>
          </c:cat>
          <c:val>
            <c:numRef>
              <c:f>'Pivot Table 10'!$B$4:$G$4</c:f>
              <c:numCache/>
            </c:numRef>
          </c:val>
          <c:smooth val="1"/>
        </c:ser>
        <c:axId val="1109112802"/>
        <c:axId val="1144110011"/>
      </c:lineChart>
      <c:catAx>
        <c:axId val="1109112802"/>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144110011"/>
      </c:catAx>
      <c:valAx>
        <c:axId val="114411001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09112802"/>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'Pivot Table 9'!$A$12</c:f>
            </c:strRef>
          </c:tx>
          <c:spPr>
            <a:ln cmpd="sng">
              <a:solidFill>
                <a:srgbClr val="4285F4"/>
              </a:solidFill>
            </a:ln>
          </c:spPr>
          <c:marker>
            <c:symbol val="none"/>
          </c:marker>
          <c:cat>
            <c:strRef>
              <c:f>'Pivot Table 9'!$B$11:$G$11</c:f>
            </c:strRef>
          </c:cat>
          <c:val>
            <c:numRef>
              <c:f>'Pivot Table 9'!$B$12:$G$12</c:f>
              <c:numCache/>
            </c:numRef>
          </c:val>
          <c:smooth val="0"/>
        </c:ser>
        <c:ser>
          <c:idx val="1"/>
          <c:order val="1"/>
          <c:tx>
            <c:strRef>
              <c:f>'Pivot Table 9'!$A$13</c:f>
            </c:strRef>
          </c:tx>
          <c:spPr>
            <a:ln cmpd="sng">
              <a:solidFill>
                <a:srgbClr val="EA4335"/>
              </a:solidFill>
            </a:ln>
          </c:spPr>
          <c:marker>
            <c:symbol val="none"/>
          </c:marker>
          <c:cat>
            <c:strRef>
              <c:f>'Pivot Table 9'!$B$11:$G$11</c:f>
            </c:strRef>
          </c:cat>
          <c:val>
            <c:numRef>
              <c:f>'Pivot Table 9'!$B$13:$G$13</c:f>
              <c:numCache/>
            </c:numRef>
          </c:val>
          <c:smooth val="0"/>
        </c:ser>
        <c:ser>
          <c:idx val="2"/>
          <c:order val="2"/>
          <c:tx>
            <c:strRef>
              <c:f>'Pivot Table 9'!$A$14</c:f>
            </c:strRef>
          </c:tx>
          <c:spPr>
            <a:ln cmpd="sng">
              <a:solidFill>
                <a:srgbClr val="FBBC04"/>
              </a:solidFill>
            </a:ln>
          </c:spPr>
          <c:marker>
            <c:symbol val="none"/>
          </c:marker>
          <c:cat>
            <c:strRef>
              <c:f>'Pivot Table 9'!$B$11:$G$11</c:f>
            </c:strRef>
          </c:cat>
          <c:val>
            <c:numRef>
              <c:f>'Pivot Table 9'!$B$14:$G$14</c:f>
              <c:numCache/>
            </c:numRef>
          </c:val>
          <c:smooth val="0"/>
        </c:ser>
        <c:ser>
          <c:idx val="3"/>
          <c:order val="3"/>
          <c:tx>
            <c:strRef>
              <c:f>'Pivot Table 9'!$A$15</c:f>
            </c:strRef>
          </c:tx>
          <c:spPr>
            <a:ln cmpd="sng">
              <a:solidFill>
                <a:srgbClr val="34A853"/>
              </a:solidFill>
            </a:ln>
          </c:spPr>
          <c:marker>
            <c:symbol val="none"/>
          </c:marker>
          <c:cat>
            <c:strRef>
              <c:f>'Pivot Table 9'!$B$11:$G$11</c:f>
            </c:strRef>
          </c:cat>
          <c:val>
            <c:numRef>
              <c:f>'Pivot Table 9'!$B$15:$G$15</c:f>
              <c:numCache/>
            </c:numRef>
          </c:val>
          <c:smooth val="0"/>
        </c:ser>
        <c:axId val="315644170"/>
        <c:axId val="219026872"/>
      </c:lineChart>
      <c:catAx>
        <c:axId val="3156441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9026872"/>
      </c:catAx>
      <c:valAx>
        <c:axId val="2190268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5644170"/>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Comparative Return on Equity (ROE) of Selected African Banks (2018–2023)</a:t>
            </a:r>
          </a:p>
        </c:rich>
      </c:tx>
      <c:overlay val="0"/>
    </c:title>
    <c:plotArea>
      <c:layout/>
      <c:lineChart>
        <c:ser>
          <c:idx val="0"/>
          <c:order val="0"/>
          <c:tx>
            <c:strRef>
              <c:f>'COMPARATIVE CHART'!$B$2</c:f>
            </c:strRef>
          </c:tx>
          <c:spPr>
            <a:ln cmpd="sng">
              <a:solidFill>
                <a:srgbClr val="4285F4"/>
              </a:solidFill>
            </a:ln>
          </c:spPr>
          <c:marker>
            <c:symbol val="none"/>
          </c:marker>
          <c:cat>
            <c:strRef>
              <c:f>'COMPARATIVE CHART'!$A$3:$A$9</c:f>
            </c:strRef>
          </c:cat>
          <c:val>
            <c:numRef>
              <c:f>'COMPARATIVE CHART'!$B$3:$B$9</c:f>
              <c:numCache/>
            </c:numRef>
          </c:val>
          <c:smooth val="0"/>
        </c:ser>
        <c:ser>
          <c:idx val="1"/>
          <c:order val="1"/>
          <c:tx>
            <c:strRef>
              <c:f>'COMPARATIVE CHART'!$C$2</c:f>
            </c:strRef>
          </c:tx>
          <c:spPr>
            <a:ln cmpd="sng">
              <a:solidFill>
                <a:srgbClr val="EA4335"/>
              </a:solidFill>
            </a:ln>
          </c:spPr>
          <c:marker>
            <c:symbol val="none"/>
          </c:marker>
          <c:cat>
            <c:strRef>
              <c:f>'COMPARATIVE CHART'!$A$3:$A$9</c:f>
            </c:strRef>
          </c:cat>
          <c:val>
            <c:numRef>
              <c:f>'COMPARATIVE CHART'!$C$3:$C$9</c:f>
              <c:numCache/>
            </c:numRef>
          </c:val>
          <c:smooth val="0"/>
        </c:ser>
        <c:ser>
          <c:idx val="2"/>
          <c:order val="2"/>
          <c:tx>
            <c:strRef>
              <c:f>'COMPARATIVE CHART'!$D$2</c:f>
            </c:strRef>
          </c:tx>
          <c:spPr>
            <a:ln cmpd="sng">
              <a:solidFill>
                <a:srgbClr val="FBBC04"/>
              </a:solidFill>
            </a:ln>
          </c:spPr>
          <c:marker>
            <c:symbol val="none"/>
          </c:marker>
          <c:cat>
            <c:strRef>
              <c:f>'COMPARATIVE CHART'!$A$3:$A$9</c:f>
            </c:strRef>
          </c:cat>
          <c:val>
            <c:numRef>
              <c:f>'COMPARATIVE CHART'!$D$3:$D$9</c:f>
              <c:numCache/>
            </c:numRef>
          </c:val>
          <c:smooth val="0"/>
        </c:ser>
        <c:ser>
          <c:idx val="3"/>
          <c:order val="3"/>
          <c:tx>
            <c:strRef>
              <c:f>'COMPARATIVE CHART'!$E$2</c:f>
            </c:strRef>
          </c:tx>
          <c:spPr>
            <a:ln cmpd="sng">
              <a:solidFill>
                <a:srgbClr val="34A853"/>
              </a:solidFill>
            </a:ln>
          </c:spPr>
          <c:marker>
            <c:symbol val="none"/>
          </c:marker>
          <c:cat>
            <c:strRef>
              <c:f>'COMPARATIVE CHART'!$A$3:$A$9</c:f>
            </c:strRef>
          </c:cat>
          <c:val>
            <c:numRef>
              <c:f>'COMPARATIVE CHART'!$E$3:$E$9</c:f>
              <c:numCache/>
            </c:numRef>
          </c:val>
          <c:smooth val="0"/>
        </c:ser>
        <c:axId val="959303657"/>
        <c:axId val="475158733"/>
      </c:lineChart>
      <c:catAx>
        <c:axId val="9593036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475158733"/>
      </c:catAx>
      <c:valAx>
        <c:axId val="475158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59303657"/>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COMPARATIVE RETURN ON ASSET (ROA) OF SELCTED AFRICAN BANS (2018-2023)</a:t>
            </a:r>
          </a:p>
        </c:rich>
      </c:tx>
      <c:overlay val="0"/>
    </c:title>
    <c:plotArea>
      <c:layout/>
      <c:lineChart>
        <c:ser>
          <c:idx val="0"/>
          <c:order val="0"/>
          <c:tx>
            <c:strRef>
              <c:f>'COMPARATIVE INTERPRETATION'!$B$2</c:f>
            </c:strRef>
          </c:tx>
          <c:spPr>
            <a:ln cmpd="sng">
              <a:solidFill>
                <a:srgbClr val="4285F4"/>
              </a:solidFill>
            </a:ln>
          </c:spPr>
          <c:marker>
            <c:symbol val="none"/>
          </c:marker>
          <c:cat>
            <c:strRef>
              <c:f>'COMPARATIVE INTERPRETATION'!$A$3:$A$8</c:f>
            </c:strRef>
          </c:cat>
          <c:val>
            <c:numRef>
              <c:f>'COMPARATIVE INTERPRETATION'!$B$3:$B$8</c:f>
              <c:numCache/>
            </c:numRef>
          </c:val>
          <c:smooth val="0"/>
        </c:ser>
        <c:ser>
          <c:idx val="1"/>
          <c:order val="1"/>
          <c:tx>
            <c:strRef>
              <c:f>'COMPARATIVE INTERPRETATION'!$C$2</c:f>
            </c:strRef>
          </c:tx>
          <c:spPr>
            <a:ln cmpd="sng">
              <a:solidFill>
                <a:srgbClr val="EA4335"/>
              </a:solidFill>
            </a:ln>
          </c:spPr>
          <c:marker>
            <c:symbol val="none"/>
          </c:marker>
          <c:cat>
            <c:strRef>
              <c:f>'COMPARATIVE INTERPRETATION'!$A$3:$A$8</c:f>
            </c:strRef>
          </c:cat>
          <c:val>
            <c:numRef>
              <c:f>'COMPARATIVE INTERPRETATION'!$C$3:$C$8</c:f>
              <c:numCache/>
            </c:numRef>
          </c:val>
          <c:smooth val="0"/>
        </c:ser>
        <c:ser>
          <c:idx val="2"/>
          <c:order val="2"/>
          <c:tx>
            <c:strRef>
              <c:f>'COMPARATIVE INTERPRETATION'!$D$2</c:f>
            </c:strRef>
          </c:tx>
          <c:spPr>
            <a:ln cmpd="sng">
              <a:solidFill>
                <a:srgbClr val="FBBC04"/>
              </a:solidFill>
            </a:ln>
          </c:spPr>
          <c:marker>
            <c:symbol val="none"/>
          </c:marker>
          <c:cat>
            <c:strRef>
              <c:f>'COMPARATIVE INTERPRETATION'!$A$3:$A$8</c:f>
            </c:strRef>
          </c:cat>
          <c:val>
            <c:numRef>
              <c:f>'COMPARATIVE INTERPRETATION'!$D$3:$D$8</c:f>
              <c:numCache/>
            </c:numRef>
          </c:val>
          <c:smooth val="0"/>
        </c:ser>
        <c:ser>
          <c:idx val="3"/>
          <c:order val="3"/>
          <c:tx>
            <c:strRef>
              <c:f>'COMPARATIVE INTERPRETATION'!$E$2</c:f>
            </c:strRef>
          </c:tx>
          <c:spPr>
            <a:ln cmpd="sng">
              <a:solidFill>
                <a:srgbClr val="34A853"/>
              </a:solidFill>
            </a:ln>
          </c:spPr>
          <c:marker>
            <c:symbol val="none"/>
          </c:marker>
          <c:cat>
            <c:strRef>
              <c:f>'COMPARATIVE INTERPRETATION'!$A$3:$A$8</c:f>
            </c:strRef>
          </c:cat>
          <c:val>
            <c:numRef>
              <c:f>'COMPARATIVE INTERPRETATION'!$E$3:$E$8</c:f>
              <c:numCache/>
            </c:numRef>
          </c:val>
          <c:smooth val="0"/>
        </c:ser>
        <c:axId val="511353925"/>
        <c:axId val="1455636938"/>
      </c:lineChart>
      <c:catAx>
        <c:axId val="5113539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c:txPr>
          <a:bodyPr/>
          <a:lstStyle/>
          <a:p>
            <a:pPr lvl="0">
              <a:defRPr b="0">
                <a:solidFill>
                  <a:srgbClr val="000000"/>
                </a:solidFill>
                <a:latin typeface="+mn-lt"/>
              </a:defRPr>
            </a:pPr>
          </a:p>
        </c:txPr>
        <c:crossAx val="1455636938"/>
      </c:catAx>
      <c:valAx>
        <c:axId val="14556369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1353925"/>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276225</xdr:colOff>
      <xdr:row>7</xdr:row>
      <xdr:rowOff>142875</xdr:rowOff>
    </xdr:from>
    <xdr:ext cx="5067300" cy="2876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876300</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904875</xdr:colOff>
      <xdr:row>0</xdr:row>
      <xdr:rowOff>0</xdr:rowOff>
    </xdr:from>
    <xdr:ext cx="5124450" cy="29337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295275</xdr:colOff>
      <xdr:row>12</xdr:row>
      <xdr:rowOff>123825</xdr:rowOff>
    </xdr:from>
    <xdr:ext cx="5172075" cy="36861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609600</xdr:colOff>
      <xdr:row>0</xdr:row>
      <xdr:rowOff>0</xdr:rowOff>
    </xdr:from>
    <xdr:ext cx="5019675" cy="33813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381000</xdr:colOff>
      <xdr:row>8</xdr:row>
      <xdr:rowOff>19050</xdr:rowOff>
    </xdr:from>
    <xdr:ext cx="4876800" cy="282892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733425</xdr:colOff>
      <xdr:row>0</xdr:row>
      <xdr:rowOff>0</xdr:rowOff>
    </xdr:from>
    <xdr:ext cx="5067300" cy="26765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371475</xdr:colOff>
      <xdr:row>17</xdr:row>
      <xdr:rowOff>180975</xdr:rowOff>
    </xdr:from>
    <xdr:ext cx="5772150" cy="3533775"/>
    <xdr:graphicFrame>
      <xdr:nvGraphicFramePr>
        <xdr:cNvPr id="8"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295275</xdr:colOff>
      <xdr:row>7</xdr:row>
      <xdr:rowOff>161925</xdr:rowOff>
    </xdr:from>
    <xdr:ext cx="65913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133350</xdr:colOff>
      <xdr:row>12</xdr:row>
      <xdr:rowOff>152400</xdr:rowOff>
    </xdr:from>
    <xdr:ext cx="6591300" cy="3933825"/>
    <xdr:graphicFrame>
      <xdr:nvGraphicFramePr>
        <xdr:cNvPr id="10" name="Chart 10"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4810125</xdr:colOff>
      <xdr:row>9</xdr:row>
      <xdr:rowOff>180975</xdr:rowOff>
    </xdr:from>
    <xdr:ext cx="7486650" cy="3448050"/>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3990975</xdr:colOff>
      <xdr:row>9</xdr:row>
      <xdr:rowOff>133350</xdr:rowOff>
    </xdr:from>
    <xdr:ext cx="6838950" cy="3810000"/>
    <xdr:graphicFrame>
      <xdr:nvGraphicFramePr>
        <xdr:cNvPr id="12" name="Chart 1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I25" sheet="ALL BANK DATA"/>
  </cacheSource>
  <cacheFields>
    <cacheField name="BANK" numFmtId="0">
      <sharedItems>
        <s v="ACCESS BANK"/>
        <s v="Commercial International Bank "/>
        <s v="EQUITY BANK"/>
        <s v="STANDARD BANK"/>
      </sharedItems>
    </cacheField>
    <cacheField name="REGION" numFmtId="0">
      <sharedItems>
        <s v="WEST AFRICA"/>
        <s v="NORTH AFRICA"/>
        <s v="EAST AFRICA"/>
        <s v="SOUTH AFRICA"/>
      </sharedItems>
    </cacheField>
    <cacheField name="YEAR" numFmtId="0">
      <sharedItems containsSemiMixedTypes="0" containsString="0" containsNumber="1" containsInteger="1">
        <n v="2018.0"/>
        <n v="2019.0"/>
        <n v="2020.0"/>
        <n v="2021.0"/>
        <n v="2022.0"/>
        <n v="2023.0"/>
      </sharedItems>
    </cacheField>
    <cacheField name="REVENUE" numFmtId="0">
      <sharedItems containsSemiMixedTypes="0" containsString="0" containsNumber="1" containsInteger="1">
        <n v="320919.0"/>
        <n v="453025.0"/>
        <n v="460794.0"/>
        <n v="546136.0"/>
        <n v="664892.0"/>
        <n v="1219828.0"/>
        <n v="2.0580136E7"/>
        <n v="2.4600896E7"/>
        <n v="2.5881E7"/>
        <n v="2.6754556E7"/>
        <n v="3.296716E7"/>
        <n v="5.6175906E7"/>
        <n v="60577.0"/>
        <n v="66773.0"/>
        <n v="62253.0"/>
        <n v="99998.0"/>
        <n v="121296.0"/>
        <n v="134457.0"/>
        <n v="127053.0"/>
        <n v="134034.0"/>
        <n v="123667.0"/>
        <n v="132982.0"/>
        <n v="156920.0"/>
        <n v="177616.0"/>
      </sharedItems>
    </cacheField>
    <cacheField name="NET PROFIT" numFmtId="0">
      <sharedItems containsSemiMixedTypes="0" containsString="0" containsNumber="1" containsInteger="1">
        <n v="94981.0"/>
        <n v="97510.0"/>
        <n v="106010.0"/>
        <n v="160216.0"/>
        <n v="155173.0"/>
        <n v="645462.0"/>
        <n v="9555755.0"/>
        <n v="1.1800995E7"/>
        <n v="1.0298982E7"/>
        <n v="1.3420385E7"/>
        <n v="1.617215E7"/>
        <n v="2.9668865E7"/>
        <n v="19691.0"/>
        <n v="22386.0"/>
        <n v="19790.0"/>
        <n v="39175.0"/>
        <n v="44894.0"/>
        <n v="41977.0"/>
        <n v="27453.0"/>
        <n v="25443.0"/>
        <n v="12358.0"/>
        <n v="24865.0"/>
        <n v="31211.0"/>
        <n v="44211.0"/>
      </sharedItems>
    </cacheField>
    <cacheField name="TOTAL ASSETS" numFmtId="0">
      <sharedItems containsSemiMixedTypes="0" containsString="0" containsNumber="1" containsInteger="1">
        <n v="4954157.0"/>
        <n v="7146610.0"/>
        <n v="8679748.0"/>
        <n v="1.1731965E7"/>
        <n v="1.4972309E7"/>
        <n v="2.6457042E7"/>
        <n v="3.4246121E8"/>
        <n v="3.86742368E8"/>
        <n v="4.2614483E8"/>
        <n v="4.96651124E8"/>
        <n v="6.35831917E8"/>
        <n v="8.34866099E8"/>
        <n v="573384.0"/>
        <n v="673682.0"/>
        <n v="1015093.0"/>
        <n v="1304914.0"/>
        <n v="1447010.0"/>
        <n v="1821435.0"/>
        <n v="2126962.0"/>
        <n v="2275589.0"/>
        <n v="2532940.0"/>
        <n v="2725817.0"/>
        <n v="2883841.0"/>
        <n v="3065745.0"/>
      </sharedItems>
    </cacheField>
    <cacheField name="TOTAL EQUITY" numFmtId="0">
      <sharedItems containsSemiMixedTypes="0" containsString="0" containsNumber="1" containsInteger="1">
        <n v="482641.0"/>
        <n v="601664.0"/>
        <n v="743703.0"/>
        <n v="1026552.0"/>
        <n v="1212497.0"/>
        <n v="2294521.0"/>
        <n v="3.4228396E7"/>
        <n v="5.1880445E7"/>
        <n v="5.9404626E7"/>
        <n v="6.8928168E7"/>
        <n v="6.7757737E7"/>
        <n v="9.0481393E7"/>
        <n v="94074.0"/>
        <n v="110719.0"/>
        <n v="132176.0"/>
        <n v="169168.0"/>
        <n v="176195.0"/>
        <n v="207793.0"/>
        <n v="165061.0"/>
        <n v="171229.0"/>
        <n v="176371.0"/>
        <n v="198832.0"/>
        <n v="219264.0"/>
        <n v="236445.0"/>
      </sharedItems>
    </cacheField>
    <cacheField name="ROA" numFmtId="10">
      <sharedItems containsSemiMixedTypes="0" containsString="0" containsNumber="1">
        <n v="0.019171980217825152"/>
        <n v="0.013644231320864017"/>
        <n v="0.012213488225695032"/>
        <n v="0.01365636532328557"/>
        <n v="0.010363999300308322"/>
        <n v="0.024396604881225952"/>
        <n v="0.027903174785839247"/>
        <n v="0.0305138406764888"/>
        <n v="0.024167797600642017"/>
        <n v="0.02702175501368643"/>
        <n v="0.025434630706026667"/>
        <n v="0.03553727362452167"/>
        <n v="0.03434173259107335"/>
        <n v="0.03322932778373179"/>
        <n v="0.019495750635656044"/>
        <n v="0.03002113549245391"/>
        <n v="0.031025355733547106"/>
        <n v="0.023046114739202882"/>
        <n v="0.012907141735489397"/>
        <n v="0.011180841531577099"/>
        <n v="0.004878915410550586"/>
        <n v="0.009122035705258276"/>
        <n v="0.010822718728251662"/>
        <n v="0.014420964561631838"/>
      </sharedItems>
    </cacheField>
    <cacheField name="ROE" numFmtId="10">
      <sharedItems containsSemiMixedTypes="0" containsString="0" containsNumber="1">
        <n v="0.19679430466951628"/>
        <n v="0.16206720029784066"/>
        <n v="0.14254346157000847"/>
        <n v="0.15607197687014393"/>
        <n v="0.1279780486054811"/>
        <n v="0.2813057714442361"/>
        <n v="0.2792"/>
        <n v="0.22746518461821214"/>
        <n v="0.17337003350547145"/>
        <n v="0.19470102556620975"/>
        <n v="0.23867606440280023"/>
        <n v="0.32790017943247185"/>
        <n v="0.20931394434168846"/>
        <n v="0.20218751975722324"/>
        <n v="0.1497246096114272"/>
        <n v="0.23157452946183676"/>
        <n v="0.25479724169244305"/>
        <n v="0.2020135423233699"/>
        <n v="0.16632033005979607"/>
        <n v="0.14859048408855977"/>
        <n v="0.07006820849232584"/>
        <n v="0.12505532308682707"/>
        <n v="0.14234438849970812"/>
        <n v="0.18698217344414134"/>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0" cacheId="0" dataCaption="" compact="0" compactData="0">
  <location ref="A1:H7" firstHeaderRow="0" firstDataRow="1" firstDataCol="1"/>
  <pivotFields>
    <pivotField name="BANK" axis="axisRow" compact="0" outline="0" multipleItemSelectionAllowed="1" showAll="0" sortType="ascending">
      <items>
        <item x="0"/>
        <item x="1"/>
        <item x="2"/>
        <item x="3"/>
        <item t="default"/>
      </items>
    </pivotField>
    <pivotField name="REGION" compact="0" outline="0" multipleItemSelectionAllowed="1" showAll="0">
      <items>
        <item x="0"/>
        <item x="1"/>
        <item x="2"/>
        <item x="3"/>
        <item t="default"/>
      </items>
    </pivotField>
    <pivotField name="YEAR" axis="axisCol" compact="0" outline="0" multipleItemSelectionAllowed="1" showAll="0" sortType="ascending">
      <items>
        <item x="0"/>
        <item x="1"/>
        <item x="2"/>
        <item x="3"/>
        <item x="4"/>
        <item x="5"/>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TAL ASSE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TAL EQUIT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A"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E"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colFields>
    <field x="2"/>
  </colFields>
  <dataFields>
    <dataField name="SUM of NET PROFIT" fld="4" baseField="0"/>
  </dataFields>
</pivotTableDefinition>
</file>

<file path=xl/pivotTables/pivotTable2.xml><?xml version="1.0" encoding="utf-8"?>
<pivotTableDefinition xmlns="http://schemas.openxmlformats.org/spreadsheetml/2006/main" name="Pivot Table 9" cacheId="0" dataCaption="" compact="0" compactData="0">
  <location ref="A1:C6" firstHeaderRow="0" firstDataRow="2" firstDataCol="0"/>
  <pivotFields>
    <pivotField name="BANK" axis="axisRow" compact="0" outline="0" multipleItemSelectionAllowed="1" showAll="0" sortType="ascending">
      <items>
        <item x="0"/>
        <item x="1"/>
        <item x="2"/>
        <item x="3"/>
        <item t="default"/>
      </items>
    </pivotField>
    <pivotField name="REGION" compact="0" outline="0" multipleItemSelectionAllowed="1" showAll="0">
      <items>
        <item x="0"/>
        <item x="1"/>
        <item x="2"/>
        <item x="3"/>
        <item t="default"/>
      </items>
    </pivotField>
    <pivotField name="YEAR" compact="0" outline="0" multipleItemSelectionAllowed="1" showAll="0">
      <items>
        <item x="0"/>
        <item x="1"/>
        <item x="2"/>
        <item x="3"/>
        <item x="4"/>
        <item x="5"/>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TAL ASSE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TAL EQUIT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A"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E"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colFields>
    <field x="-2"/>
  </colFields>
  <dataFields>
    <dataField name="AVERAGE of ROA" fld="7" subtotal="average" baseField="0"/>
    <dataField name="AVERAGE of ROE" fld="8" subtotal="average" baseField="0"/>
  </dataFields>
</pivotTableDefinition>
</file>

<file path=xl/pivotTables/pivotTable3.xml><?xml version="1.0" encoding="utf-8"?>
<pivotTableDefinition xmlns="http://schemas.openxmlformats.org/spreadsheetml/2006/main" name="Pivot Table 9 2" cacheId="0" dataCaption="" compact="0" compactData="0">
  <location ref="A10:H16" firstHeaderRow="0" firstDataRow="1" firstDataCol="1"/>
  <pivotFields>
    <pivotField name="BANK" axis="axisRow" compact="0" outline="0" multipleItemSelectionAllowed="1" showAll="0" sortType="ascending">
      <items>
        <item x="0"/>
        <item x="1"/>
        <item x="2"/>
        <item x="3"/>
        <item t="default"/>
      </items>
    </pivotField>
    <pivotField name="REGION" compact="0" outline="0" multipleItemSelectionAllowed="1" showAll="0">
      <items>
        <item x="0"/>
        <item x="1"/>
        <item x="2"/>
        <item x="3"/>
        <item t="default"/>
      </items>
    </pivotField>
    <pivotField name="YEAR" axis="axisCol" compact="0" outline="0" multipleItemSelectionAllowed="1" showAll="0" sortType="ascending">
      <items>
        <item x="0"/>
        <item x="1"/>
        <item x="2"/>
        <item x="3"/>
        <item x="4"/>
        <item x="5"/>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TAL ASSETS"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TOTAL EQUITY"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A"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ROE" dataField="1" compact="0" numFmtId="1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s>
  <rowFields>
    <field x="0"/>
  </rowFields>
  <colFields>
    <field x="2"/>
  </colFields>
  <dataFields>
    <dataField name="AVERAGE of ROE" fld="8"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5" max="5" width="13.13"/>
    <col customWidth="1" min="6" max="6" width="21.25"/>
  </cols>
  <sheetData>
    <row r="1">
      <c r="A1" s="1" t="s">
        <v>0</v>
      </c>
      <c r="B1" s="2" t="s">
        <v>1</v>
      </c>
      <c r="C1" s="2" t="s">
        <v>2</v>
      </c>
      <c r="D1" s="2" t="s">
        <v>3</v>
      </c>
      <c r="E1" s="2" t="s">
        <v>4</v>
      </c>
      <c r="F1" s="2" t="s">
        <v>5</v>
      </c>
      <c r="G1" s="1" t="s">
        <v>6</v>
      </c>
      <c r="H1" s="1" t="s">
        <v>7</v>
      </c>
    </row>
    <row r="2">
      <c r="A2" s="1" t="s">
        <v>8</v>
      </c>
      <c r="B2" s="2">
        <v>2018.0</v>
      </c>
      <c r="C2" s="2">
        <v>127053.0</v>
      </c>
      <c r="D2" s="2">
        <v>27453.0</v>
      </c>
      <c r="E2" s="2">
        <v>2126962.0</v>
      </c>
      <c r="F2" s="2">
        <v>165061.0</v>
      </c>
      <c r="G2" s="3">
        <f t="shared" ref="G2:G7" si="1">D2/E2</f>
        <v>0.01290714174</v>
      </c>
      <c r="H2" s="3">
        <f t="shared" ref="H2:H7" si="2">D2/F2</f>
        <v>0.1663203301</v>
      </c>
    </row>
    <row r="3">
      <c r="A3" s="1" t="s">
        <v>8</v>
      </c>
      <c r="B3" s="1">
        <v>2019.0</v>
      </c>
      <c r="C3" s="1">
        <v>134034.0</v>
      </c>
      <c r="D3" s="1">
        <v>25443.0</v>
      </c>
      <c r="E3" s="1">
        <v>2275589.0</v>
      </c>
      <c r="F3" s="1">
        <v>171229.0</v>
      </c>
      <c r="G3" s="3">
        <f t="shared" si="1"/>
        <v>0.01118084153</v>
      </c>
      <c r="H3" s="3">
        <f t="shared" si="2"/>
        <v>0.1485904841</v>
      </c>
    </row>
    <row r="4">
      <c r="A4" s="1" t="s">
        <v>8</v>
      </c>
      <c r="B4" s="1">
        <v>2020.0</v>
      </c>
      <c r="C4" s="4">
        <v>123667.0</v>
      </c>
      <c r="D4" s="4">
        <v>12358.0</v>
      </c>
      <c r="E4" s="4">
        <v>2532940.0</v>
      </c>
      <c r="F4" s="4">
        <v>176371.0</v>
      </c>
      <c r="G4" s="3">
        <f t="shared" si="1"/>
        <v>0.004878915411</v>
      </c>
      <c r="H4" s="3">
        <f t="shared" si="2"/>
        <v>0.07006820849</v>
      </c>
    </row>
    <row r="5">
      <c r="A5" s="1" t="s">
        <v>8</v>
      </c>
      <c r="B5" s="1">
        <v>2021.0</v>
      </c>
      <c r="C5" s="5">
        <v>132982.0</v>
      </c>
      <c r="D5" s="1">
        <v>24865.0</v>
      </c>
      <c r="E5" s="5">
        <v>2725817.0</v>
      </c>
      <c r="F5" s="5">
        <v>198832.0</v>
      </c>
      <c r="G5" s="3">
        <f t="shared" si="1"/>
        <v>0.009122035705</v>
      </c>
      <c r="H5" s="3">
        <f t="shared" si="2"/>
        <v>0.1250553231</v>
      </c>
    </row>
    <row r="6">
      <c r="A6" s="1" t="s">
        <v>8</v>
      </c>
      <c r="B6" s="1">
        <v>2022.0</v>
      </c>
      <c r="C6" s="6">
        <v>156920.0</v>
      </c>
      <c r="D6" s="1">
        <v>31211.0</v>
      </c>
      <c r="E6" s="1">
        <v>2883841.0</v>
      </c>
      <c r="F6" s="1">
        <v>219264.0</v>
      </c>
      <c r="G6" s="3">
        <f t="shared" si="1"/>
        <v>0.01082271873</v>
      </c>
      <c r="H6" s="3">
        <f t="shared" si="2"/>
        <v>0.1423443885</v>
      </c>
    </row>
    <row r="7">
      <c r="A7" s="1" t="s">
        <v>8</v>
      </c>
      <c r="B7" s="1">
        <v>2023.0</v>
      </c>
      <c r="C7" s="6">
        <v>177616.0</v>
      </c>
      <c r="D7" s="6">
        <v>44211.0</v>
      </c>
      <c r="E7" s="1">
        <v>3065745.0</v>
      </c>
      <c r="F7" s="1">
        <v>236445.0</v>
      </c>
      <c r="G7" s="3">
        <f t="shared" si="1"/>
        <v>0.01442096456</v>
      </c>
      <c r="H7" s="3">
        <f t="shared" si="2"/>
        <v>0.1869821734</v>
      </c>
    </row>
    <row r="8">
      <c r="C8" s="7"/>
      <c r="D8" s="8"/>
      <c r="E8" s="7"/>
      <c r="F8"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6</v>
      </c>
      <c r="C1" s="1" t="s">
        <v>7</v>
      </c>
    </row>
    <row r="2">
      <c r="A2" s="1">
        <v>2018.0</v>
      </c>
      <c r="B2" s="9">
        <v>0.0129</v>
      </c>
      <c r="C2" s="9">
        <v>0.1663</v>
      </c>
    </row>
    <row r="3">
      <c r="A3" s="1">
        <v>2019.0</v>
      </c>
      <c r="B3" s="9">
        <v>0.0112</v>
      </c>
      <c r="C3" s="9">
        <v>0.1486</v>
      </c>
    </row>
    <row r="4">
      <c r="A4" s="1">
        <v>2020.0</v>
      </c>
      <c r="B4" s="9">
        <v>0.0049</v>
      </c>
      <c r="C4" s="9">
        <v>0.0701</v>
      </c>
    </row>
    <row r="5">
      <c r="A5" s="1">
        <v>2021.0</v>
      </c>
      <c r="B5" s="9">
        <v>0.0091</v>
      </c>
      <c r="C5" s="9">
        <v>0.1251</v>
      </c>
    </row>
    <row r="6">
      <c r="A6" s="1">
        <v>2022.0</v>
      </c>
      <c r="B6" s="9">
        <v>0.0108</v>
      </c>
      <c r="C6" s="9">
        <v>0.1423</v>
      </c>
    </row>
    <row r="7">
      <c r="A7" s="1">
        <v>2023.0</v>
      </c>
      <c r="B7" s="9">
        <v>0.0144</v>
      </c>
      <c r="C7" s="9">
        <v>0.187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88"/>
  </cols>
  <sheetData>
    <row r="1">
      <c r="A1" s="10" t="s">
        <v>9</v>
      </c>
    </row>
    <row r="2">
      <c r="A2" s="11" t="s">
        <v>10</v>
      </c>
    </row>
    <row r="3">
      <c r="A3" s="11" t="s">
        <v>10</v>
      </c>
    </row>
    <row r="4">
      <c r="A4" s="12"/>
    </row>
    <row r="5">
      <c r="A5" s="12"/>
    </row>
    <row r="6">
      <c r="A6" s="12"/>
    </row>
    <row r="7">
      <c r="A7" s="12"/>
    </row>
    <row r="8">
      <c r="A8" s="12"/>
    </row>
    <row r="9">
      <c r="A9" s="12"/>
    </row>
    <row r="10">
      <c r="A10" s="12"/>
    </row>
    <row r="11">
      <c r="A11" s="12"/>
    </row>
    <row r="12">
      <c r="A12" s="12"/>
    </row>
    <row r="13">
      <c r="A13" s="12"/>
    </row>
    <row r="14">
      <c r="A14" s="12"/>
    </row>
    <row r="15">
      <c r="A15" s="12"/>
    </row>
    <row r="16">
      <c r="A16" s="12"/>
    </row>
    <row r="17">
      <c r="A17" s="12"/>
    </row>
    <row r="18">
      <c r="A18" s="12"/>
    </row>
    <row r="19">
      <c r="A19" s="12"/>
    </row>
    <row r="20">
      <c r="A20" s="12"/>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12.25"/>
    <col customWidth="1" min="3" max="3" width="11.25"/>
    <col customWidth="1" min="4" max="4" width="13.63"/>
    <col customWidth="1" min="5" max="5" width="13.88"/>
  </cols>
  <sheetData>
    <row r="1">
      <c r="A1" s="13" t="s">
        <v>11</v>
      </c>
    </row>
    <row r="2">
      <c r="A2" s="14" t="s">
        <v>12</v>
      </c>
    </row>
    <row r="3">
      <c r="A3" s="1" t="s">
        <v>1</v>
      </c>
      <c r="B3" s="2" t="s">
        <v>2</v>
      </c>
      <c r="C3" s="2" t="s">
        <v>3</v>
      </c>
      <c r="D3" s="2" t="s">
        <v>13</v>
      </c>
      <c r="E3" s="2" t="s">
        <v>14</v>
      </c>
      <c r="F3" s="1" t="s">
        <v>6</v>
      </c>
      <c r="G3" s="1" t="s">
        <v>7</v>
      </c>
    </row>
    <row r="4">
      <c r="A4" s="1">
        <v>2018.0</v>
      </c>
      <c r="B4" s="2">
        <v>60577.0</v>
      </c>
      <c r="C4" s="2">
        <v>19691.0</v>
      </c>
      <c r="D4" s="2">
        <v>573384.0</v>
      </c>
      <c r="E4" s="2">
        <v>94074.0</v>
      </c>
      <c r="F4" s="3">
        <f t="shared" ref="F4:F9" si="1">C4/D4</f>
        <v>0.03434173259</v>
      </c>
      <c r="G4" s="3">
        <f t="shared" ref="G4:G9" si="2">C4/E4</f>
        <v>0.2093139443</v>
      </c>
    </row>
    <row r="5">
      <c r="A5" s="1">
        <v>2019.0</v>
      </c>
      <c r="B5" s="15">
        <v>66773.0</v>
      </c>
      <c r="C5" s="2">
        <v>22386.0</v>
      </c>
      <c r="D5" s="15">
        <v>673682.0</v>
      </c>
      <c r="E5" s="15">
        <v>110719.0</v>
      </c>
      <c r="F5" s="3">
        <f t="shared" si="1"/>
        <v>0.03322932778</v>
      </c>
      <c r="G5" s="3">
        <f t="shared" si="2"/>
        <v>0.2021875198</v>
      </c>
    </row>
    <row r="6">
      <c r="A6" s="1">
        <v>2020.0</v>
      </c>
      <c r="B6" s="16">
        <v>62253.0</v>
      </c>
      <c r="C6" s="16">
        <v>19790.0</v>
      </c>
      <c r="D6" s="16">
        <v>1015093.0</v>
      </c>
      <c r="E6" s="16">
        <v>132176.0</v>
      </c>
      <c r="F6" s="3">
        <f t="shared" si="1"/>
        <v>0.01949575064</v>
      </c>
      <c r="G6" s="3">
        <f t="shared" si="2"/>
        <v>0.1497246096</v>
      </c>
    </row>
    <row r="7">
      <c r="A7" s="1">
        <v>2021.0</v>
      </c>
      <c r="B7" s="2">
        <v>99998.0</v>
      </c>
      <c r="C7" s="2">
        <v>39175.0</v>
      </c>
      <c r="D7" s="2">
        <v>1304914.0</v>
      </c>
      <c r="E7" s="2">
        <v>169168.0</v>
      </c>
      <c r="F7" s="3">
        <f t="shared" si="1"/>
        <v>0.03002113549</v>
      </c>
      <c r="G7" s="3">
        <f t="shared" si="2"/>
        <v>0.2315745295</v>
      </c>
    </row>
    <row r="8">
      <c r="A8" s="1">
        <v>2022.0</v>
      </c>
      <c r="B8" s="17">
        <v>121296.0</v>
      </c>
      <c r="C8" s="17">
        <v>44894.0</v>
      </c>
      <c r="D8" s="17">
        <v>1447010.0</v>
      </c>
      <c r="E8" s="17">
        <v>176195.0</v>
      </c>
      <c r="F8" s="3">
        <f t="shared" si="1"/>
        <v>0.03102535573</v>
      </c>
      <c r="G8" s="3">
        <f t="shared" si="2"/>
        <v>0.2547972417</v>
      </c>
    </row>
    <row r="9">
      <c r="A9" s="1">
        <v>2023.0</v>
      </c>
      <c r="B9" s="2">
        <v>134457.0</v>
      </c>
      <c r="C9" s="2">
        <v>41977.0</v>
      </c>
      <c r="D9" s="2">
        <v>1821435.0</v>
      </c>
      <c r="E9" s="2">
        <v>207793.0</v>
      </c>
      <c r="F9" s="3">
        <f t="shared" si="1"/>
        <v>0.02304611474</v>
      </c>
      <c r="G9" s="3">
        <f t="shared" si="2"/>
        <v>0.2020135423</v>
      </c>
    </row>
    <row r="10">
      <c r="B10" s="18"/>
      <c r="C10" s="19"/>
      <c r="D10" s="18"/>
      <c r="E10" s="18"/>
    </row>
    <row r="11">
      <c r="B11" s="20"/>
      <c r="C11" s="21"/>
      <c r="D11" s="20"/>
      <c r="E11" s="21"/>
    </row>
    <row r="14">
      <c r="E14" s="18"/>
    </row>
  </sheetData>
  <mergeCells count="2">
    <mergeCell ref="A1:Z1"/>
    <mergeCell ref="A2:Z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6</v>
      </c>
      <c r="C1" s="1" t="s">
        <v>7</v>
      </c>
    </row>
    <row r="2">
      <c r="A2" s="1">
        <v>2018.0</v>
      </c>
      <c r="B2" s="9">
        <v>0.0343</v>
      </c>
      <c r="C2" s="9">
        <v>0.2093</v>
      </c>
    </row>
    <row r="3">
      <c r="A3" s="1">
        <v>2019.0</v>
      </c>
      <c r="B3" s="9">
        <v>0.0332</v>
      </c>
      <c r="C3" s="9">
        <v>0.2022</v>
      </c>
    </row>
    <row r="4">
      <c r="A4" s="1">
        <v>2020.0</v>
      </c>
      <c r="B4" s="9">
        <v>0.0195</v>
      </c>
      <c r="C4" s="9">
        <v>0.1497</v>
      </c>
    </row>
    <row r="5">
      <c r="A5" s="1">
        <v>2021.0</v>
      </c>
      <c r="B5" s="22">
        <v>0.03</v>
      </c>
      <c r="C5" s="9">
        <v>0.2316</v>
      </c>
    </row>
    <row r="6">
      <c r="A6" s="1">
        <v>2022.0</v>
      </c>
      <c r="B6" s="9">
        <v>0.031</v>
      </c>
      <c r="C6" s="9">
        <v>0.2548</v>
      </c>
    </row>
    <row r="7">
      <c r="A7" s="1">
        <v>2023.0</v>
      </c>
      <c r="B7" s="9">
        <v>0.023</v>
      </c>
      <c r="C7" s="9">
        <v>0.202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s>
  <sheetData>
    <row r="1">
      <c r="A1" s="23" t="s">
        <v>15</v>
      </c>
      <c r="B1" s="24"/>
      <c r="C1" s="24"/>
      <c r="D1" s="24"/>
      <c r="E1" s="24"/>
      <c r="F1" s="24"/>
      <c r="G1" s="24"/>
      <c r="H1" s="24"/>
      <c r="I1" s="24"/>
      <c r="J1" s="24"/>
      <c r="K1" s="24"/>
      <c r="L1" s="24"/>
      <c r="M1" s="24"/>
      <c r="N1" s="24"/>
      <c r="O1" s="24"/>
      <c r="P1" s="24"/>
      <c r="Q1" s="24"/>
      <c r="R1" s="24"/>
      <c r="S1" s="24"/>
      <c r="T1" s="24"/>
      <c r="U1" s="24"/>
      <c r="V1" s="24"/>
      <c r="W1" s="24"/>
      <c r="X1" s="24"/>
      <c r="Y1" s="24"/>
      <c r="Z1" s="24"/>
    </row>
    <row r="2">
      <c r="A2" s="11" t="s">
        <v>16</v>
      </c>
      <c r="B2" s="24"/>
      <c r="C2" s="24"/>
      <c r="D2" s="24"/>
      <c r="E2" s="24"/>
      <c r="F2" s="24"/>
      <c r="G2" s="24"/>
      <c r="H2" s="24"/>
      <c r="I2" s="24"/>
      <c r="J2" s="24"/>
      <c r="K2" s="24"/>
      <c r="L2" s="24"/>
      <c r="M2" s="24"/>
      <c r="N2" s="24"/>
      <c r="O2" s="24"/>
      <c r="P2" s="24"/>
      <c r="Q2" s="24"/>
      <c r="R2" s="24"/>
      <c r="S2" s="24"/>
      <c r="T2" s="24"/>
      <c r="U2" s="24"/>
      <c r="V2" s="24"/>
      <c r="W2" s="24"/>
      <c r="X2" s="24"/>
      <c r="Y2" s="24"/>
      <c r="Z2" s="24"/>
    </row>
    <row r="3">
      <c r="A3" s="11" t="s">
        <v>17</v>
      </c>
      <c r="B3" s="24"/>
      <c r="C3" s="24"/>
      <c r="D3" s="24"/>
      <c r="E3" s="24"/>
      <c r="F3" s="24"/>
      <c r="G3" s="24"/>
      <c r="H3" s="24"/>
      <c r="I3" s="24"/>
      <c r="J3" s="24"/>
      <c r="K3" s="24"/>
      <c r="L3" s="24"/>
      <c r="M3" s="24"/>
      <c r="N3" s="24"/>
      <c r="O3" s="24"/>
      <c r="P3" s="24"/>
      <c r="Q3" s="24"/>
      <c r="R3" s="24"/>
      <c r="S3" s="24"/>
      <c r="T3" s="24"/>
      <c r="U3" s="24"/>
      <c r="V3" s="24"/>
      <c r="W3" s="24"/>
      <c r="X3" s="24"/>
      <c r="Y3" s="24"/>
      <c r="Z3" s="24"/>
    </row>
    <row r="4">
      <c r="A4" s="12"/>
    </row>
    <row r="5">
      <c r="A5" s="12"/>
    </row>
    <row r="6">
      <c r="A6" s="12"/>
    </row>
    <row r="7">
      <c r="A7" s="12"/>
    </row>
    <row r="8">
      <c r="A8" s="12"/>
    </row>
    <row r="9">
      <c r="A9" s="12"/>
    </row>
    <row r="10">
      <c r="A10" s="12"/>
    </row>
    <row r="11">
      <c r="A11" s="12"/>
    </row>
    <row r="12">
      <c r="A12" s="12"/>
    </row>
    <row r="13">
      <c r="A13" s="12"/>
    </row>
    <row r="14">
      <c r="A14" s="12"/>
    </row>
    <row r="15">
      <c r="A15" s="12"/>
    </row>
    <row r="16">
      <c r="A16" s="12"/>
    </row>
    <row r="17">
      <c r="A17" s="12"/>
    </row>
    <row r="18">
      <c r="A18" s="12"/>
    </row>
    <row r="19">
      <c r="A19" s="12"/>
    </row>
    <row r="20">
      <c r="A20" s="12"/>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8" max="8" width="14.5"/>
  </cols>
  <sheetData>
    <row r="1">
      <c r="A1" s="25" t="s">
        <v>18</v>
      </c>
    </row>
    <row r="2">
      <c r="A2" s="26" t="s">
        <v>19</v>
      </c>
    </row>
    <row r="3">
      <c r="A3" s="1" t="s">
        <v>1</v>
      </c>
      <c r="B3" s="1" t="s">
        <v>2</v>
      </c>
      <c r="C3" s="1" t="s">
        <v>3</v>
      </c>
      <c r="D3" s="1" t="s">
        <v>13</v>
      </c>
      <c r="E3" s="1" t="s">
        <v>14</v>
      </c>
      <c r="F3" s="1" t="s">
        <v>6</v>
      </c>
      <c r="G3" s="1" t="s">
        <v>7</v>
      </c>
      <c r="H3" s="1" t="s">
        <v>20</v>
      </c>
    </row>
    <row r="4">
      <c r="A4" s="1">
        <v>2018.0</v>
      </c>
      <c r="B4" s="1">
        <v>320919.0</v>
      </c>
      <c r="C4" s="1">
        <v>94981.0</v>
      </c>
      <c r="D4" s="1">
        <v>4954157.0</v>
      </c>
      <c r="E4" s="1">
        <v>482641.0</v>
      </c>
      <c r="F4" s="3">
        <f t="shared" ref="F4:F9" si="1">C4/D4</f>
        <v>0.01917198022</v>
      </c>
      <c r="G4" s="3">
        <f t="shared" ref="G4:G9" si="2">C4/E4</f>
        <v>0.1967943047</v>
      </c>
      <c r="H4" s="27">
        <v>0.0</v>
      </c>
    </row>
    <row r="5">
      <c r="A5" s="1">
        <v>2019.0</v>
      </c>
      <c r="B5" s="1">
        <v>453025.0</v>
      </c>
      <c r="C5" s="1">
        <v>97510.0</v>
      </c>
      <c r="D5" s="1">
        <v>7146610.0</v>
      </c>
      <c r="E5" s="1">
        <v>601664.0</v>
      </c>
      <c r="F5" s="3">
        <f t="shared" si="1"/>
        <v>0.01364423132</v>
      </c>
      <c r="G5" s="3">
        <f t="shared" si="2"/>
        <v>0.1620672003</v>
      </c>
      <c r="H5" s="27">
        <v>0.0</v>
      </c>
    </row>
    <row r="6">
      <c r="A6" s="1">
        <v>2020.0</v>
      </c>
      <c r="B6" s="1">
        <v>460794.0</v>
      </c>
      <c r="C6" s="1">
        <v>106010.0</v>
      </c>
      <c r="D6" s="1">
        <v>8679748.0</v>
      </c>
      <c r="E6" s="1">
        <v>743703.0</v>
      </c>
      <c r="F6" s="3">
        <f t="shared" si="1"/>
        <v>0.01221348823</v>
      </c>
      <c r="G6" s="3">
        <f t="shared" si="2"/>
        <v>0.1425434616</v>
      </c>
      <c r="H6" s="27">
        <v>0.0</v>
      </c>
    </row>
    <row r="7">
      <c r="A7" s="1">
        <v>2021.0</v>
      </c>
      <c r="B7" s="1">
        <v>546136.0</v>
      </c>
      <c r="C7" s="28">
        <v>160216.0</v>
      </c>
      <c r="D7" s="29">
        <v>1.1731965E7</v>
      </c>
      <c r="E7" s="29">
        <v>1026552.0</v>
      </c>
      <c r="F7" s="3">
        <f t="shared" si="1"/>
        <v>0.01365636532</v>
      </c>
      <c r="G7" s="3">
        <f t="shared" si="2"/>
        <v>0.1560719769</v>
      </c>
      <c r="H7" s="27">
        <v>0.0</v>
      </c>
    </row>
    <row r="8">
      <c r="A8" s="1">
        <v>2022.0</v>
      </c>
      <c r="B8" s="1">
        <v>664892.0</v>
      </c>
      <c r="C8" s="29">
        <v>155173.0</v>
      </c>
      <c r="D8" s="29">
        <v>1.4972309E7</v>
      </c>
      <c r="E8" s="29">
        <v>1212497.0</v>
      </c>
      <c r="F8" s="3">
        <f t="shared" si="1"/>
        <v>0.0103639993</v>
      </c>
      <c r="G8" s="3">
        <f t="shared" si="2"/>
        <v>0.1279780486</v>
      </c>
      <c r="H8" s="27">
        <v>0.0</v>
      </c>
    </row>
    <row r="9">
      <c r="A9" s="1">
        <v>2023.0</v>
      </c>
      <c r="B9" s="1">
        <v>1219828.0</v>
      </c>
      <c r="C9" s="1">
        <v>645462.0</v>
      </c>
      <c r="D9" s="1">
        <v>2.6457042E7</v>
      </c>
      <c r="E9" s="1">
        <v>2294521.0</v>
      </c>
      <c r="F9" s="3">
        <f t="shared" si="1"/>
        <v>0.02439660488</v>
      </c>
      <c r="G9" s="3">
        <f t="shared" si="2"/>
        <v>0.2813057714</v>
      </c>
      <c r="H9" s="27">
        <v>0.0</v>
      </c>
    </row>
    <row r="10">
      <c r="C10" s="30"/>
      <c r="D10" s="31"/>
      <c r="E10" s="32"/>
    </row>
    <row r="11">
      <c r="C11" s="32"/>
      <c r="D11" s="32"/>
    </row>
    <row r="14">
      <c r="E14" s="33"/>
    </row>
    <row r="15">
      <c r="E15" s="32"/>
    </row>
  </sheetData>
  <mergeCells count="2">
    <mergeCell ref="A1:Z1"/>
    <mergeCell ref="A2:Z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6</v>
      </c>
      <c r="C1" s="1" t="s">
        <v>7</v>
      </c>
    </row>
    <row r="2">
      <c r="A2" s="1">
        <v>2018.0</v>
      </c>
      <c r="B2" s="9">
        <v>0.0192</v>
      </c>
      <c r="C2" s="9">
        <v>0.1968</v>
      </c>
    </row>
    <row r="3">
      <c r="A3" s="1">
        <v>2019.0</v>
      </c>
      <c r="B3" s="9">
        <v>0.0136</v>
      </c>
      <c r="C3" s="9">
        <v>0.1621</v>
      </c>
    </row>
    <row r="4">
      <c r="A4" s="1">
        <v>2020.0</v>
      </c>
      <c r="B4" s="9">
        <v>0.0122</v>
      </c>
      <c r="C4" s="9">
        <v>0.1425</v>
      </c>
    </row>
    <row r="5">
      <c r="A5" s="1">
        <v>2021.0</v>
      </c>
      <c r="B5" s="9">
        <v>0.0137</v>
      </c>
      <c r="C5" s="9">
        <v>0.1561</v>
      </c>
    </row>
    <row r="6">
      <c r="A6" s="1">
        <v>2022.0</v>
      </c>
      <c r="B6" s="9">
        <v>0.0104</v>
      </c>
      <c r="C6" s="9">
        <v>0.128</v>
      </c>
    </row>
    <row r="7">
      <c r="A7" s="1">
        <v>2023.0</v>
      </c>
      <c r="B7" s="9">
        <v>0.0244</v>
      </c>
      <c r="C7" s="9">
        <v>0.2813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0"/>
  </cols>
  <sheetData>
    <row r="1">
      <c r="A1" s="24" t="s">
        <v>21</v>
      </c>
      <c r="B1" s="34"/>
      <c r="C1" s="34"/>
      <c r="D1" s="34"/>
      <c r="E1" s="34"/>
      <c r="F1" s="34"/>
      <c r="G1" s="34"/>
      <c r="H1" s="34"/>
      <c r="I1" s="34"/>
      <c r="J1" s="34"/>
      <c r="K1" s="34"/>
      <c r="L1" s="34"/>
      <c r="M1" s="34"/>
      <c r="N1" s="34"/>
      <c r="O1" s="34"/>
      <c r="P1" s="34"/>
      <c r="Q1" s="34"/>
      <c r="R1" s="34"/>
      <c r="S1" s="34"/>
      <c r="T1" s="34"/>
      <c r="U1" s="34"/>
      <c r="V1" s="34"/>
      <c r="W1" s="34"/>
      <c r="X1" s="34"/>
      <c r="Y1" s="34"/>
      <c r="Z1" s="34"/>
    </row>
    <row r="2">
      <c r="A2" s="24" t="s">
        <v>22</v>
      </c>
      <c r="B2" s="34"/>
      <c r="C2" s="34"/>
      <c r="D2" s="34"/>
      <c r="E2" s="34"/>
      <c r="F2" s="34"/>
      <c r="G2" s="34"/>
      <c r="H2" s="34"/>
      <c r="I2" s="34"/>
      <c r="J2" s="34"/>
      <c r="K2" s="34"/>
      <c r="L2" s="34"/>
      <c r="M2" s="34"/>
      <c r="N2" s="34"/>
      <c r="O2" s="34"/>
      <c r="P2" s="34"/>
      <c r="Q2" s="34"/>
      <c r="R2" s="34"/>
      <c r="S2" s="34"/>
      <c r="T2" s="34"/>
      <c r="U2" s="34"/>
      <c r="V2" s="34"/>
      <c r="W2" s="34"/>
      <c r="X2" s="34"/>
      <c r="Y2" s="34"/>
      <c r="Z2" s="34"/>
    </row>
    <row r="3">
      <c r="A3" s="24" t="s">
        <v>23</v>
      </c>
      <c r="B3" s="34"/>
      <c r="C3" s="34"/>
      <c r="D3" s="34"/>
      <c r="E3" s="34"/>
      <c r="F3" s="34"/>
      <c r="G3" s="34"/>
      <c r="H3" s="34"/>
      <c r="I3" s="34"/>
      <c r="J3" s="34"/>
      <c r="K3" s="34"/>
      <c r="L3" s="34"/>
      <c r="M3" s="34"/>
      <c r="N3" s="34"/>
      <c r="O3" s="34"/>
      <c r="P3" s="34"/>
      <c r="Q3" s="34"/>
      <c r="R3" s="34"/>
      <c r="S3" s="34"/>
      <c r="T3" s="34"/>
      <c r="U3" s="34"/>
      <c r="V3" s="34"/>
      <c r="W3" s="34"/>
      <c r="X3" s="34"/>
      <c r="Y3" s="34"/>
      <c r="Z3" s="34"/>
    </row>
    <row r="4">
      <c r="A4" s="24" t="s">
        <v>24</v>
      </c>
      <c r="B4" s="34"/>
      <c r="C4" s="34"/>
      <c r="D4" s="34"/>
      <c r="E4" s="34"/>
      <c r="F4" s="34"/>
      <c r="G4" s="34"/>
      <c r="H4" s="34"/>
      <c r="I4" s="34"/>
      <c r="J4" s="34"/>
      <c r="K4" s="34"/>
      <c r="L4" s="34"/>
      <c r="M4" s="34"/>
      <c r="N4" s="34"/>
      <c r="O4" s="34"/>
      <c r="P4" s="34"/>
      <c r="Q4" s="34"/>
      <c r="R4" s="34"/>
      <c r="S4" s="34"/>
      <c r="T4" s="34"/>
      <c r="U4" s="34"/>
      <c r="V4" s="34"/>
      <c r="W4" s="34"/>
      <c r="X4" s="34"/>
      <c r="Y4" s="34"/>
      <c r="Z4" s="3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2</v>
      </c>
      <c r="C1" s="1" t="s">
        <v>3</v>
      </c>
      <c r="D1" s="1" t="s">
        <v>13</v>
      </c>
      <c r="E1" s="1" t="s">
        <v>25</v>
      </c>
      <c r="F1" s="9" t="s">
        <v>6</v>
      </c>
      <c r="G1" s="9" t="s">
        <v>7</v>
      </c>
      <c r="H1" s="35" t="s">
        <v>20</v>
      </c>
    </row>
    <row r="2">
      <c r="A2" s="1">
        <v>2018.0</v>
      </c>
      <c r="B2" s="1">
        <v>2.0580136E7</v>
      </c>
      <c r="C2" s="1">
        <v>9555755.0</v>
      </c>
      <c r="D2" s="1">
        <v>3.4246121E8</v>
      </c>
      <c r="E2" s="1">
        <v>3.4228396E7</v>
      </c>
      <c r="F2" s="3">
        <f t="shared" ref="F2:F7" si="1">C2/D2</f>
        <v>0.02790317479</v>
      </c>
      <c r="G2" s="9">
        <v>0.2792</v>
      </c>
      <c r="H2" s="35">
        <v>0.0</v>
      </c>
    </row>
    <row r="3">
      <c r="A3" s="1">
        <v>2019.0</v>
      </c>
      <c r="B3" s="1">
        <v>2.4600896E7</v>
      </c>
      <c r="C3" s="1">
        <v>1.1800995E7</v>
      </c>
      <c r="D3" s="1">
        <v>3.86742368E8</v>
      </c>
      <c r="E3" s="1">
        <v>5.1880445E7</v>
      </c>
      <c r="F3" s="3">
        <f t="shared" si="1"/>
        <v>0.03051384068</v>
      </c>
      <c r="G3" s="3">
        <f t="shared" ref="G3:G7" si="2">C3/E3</f>
        <v>0.2274651846</v>
      </c>
      <c r="H3" s="35">
        <v>0.0</v>
      </c>
    </row>
    <row r="4">
      <c r="A4" s="1">
        <v>2020.0</v>
      </c>
      <c r="B4" s="1">
        <v>2.5881E7</v>
      </c>
      <c r="C4" s="1">
        <v>1.0298982E7</v>
      </c>
      <c r="D4" s="1">
        <v>4.2614483E8</v>
      </c>
      <c r="E4" s="1">
        <v>5.9404626E7</v>
      </c>
      <c r="F4" s="3">
        <f t="shared" si="1"/>
        <v>0.0241677976</v>
      </c>
      <c r="G4" s="3">
        <f t="shared" si="2"/>
        <v>0.1733700335</v>
      </c>
      <c r="H4" s="35">
        <v>0.0</v>
      </c>
    </row>
    <row r="5">
      <c r="A5" s="1">
        <v>2021.0</v>
      </c>
      <c r="B5" s="1">
        <v>2.6754556E7</v>
      </c>
      <c r="C5" s="36">
        <v>1.3420385E7</v>
      </c>
      <c r="D5" s="1">
        <v>4.96651124E8</v>
      </c>
      <c r="E5" s="1">
        <v>6.8928168E7</v>
      </c>
      <c r="F5" s="3">
        <f t="shared" si="1"/>
        <v>0.02702175501</v>
      </c>
      <c r="G5" s="3">
        <f t="shared" si="2"/>
        <v>0.1947010256</v>
      </c>
      <c r="H5" s="35">
        <v>0.0</v>
      </c>
    </row>
    <row r="6">
      <c r="A6" s="1">
        <v>2022.0</v>
      </c>
      <c r="B6" s="1">
        <v>3.296716E7</v>
      </c>
      <c r="C6" s="37">
        <v>1.617215E7</v>
      </c>
      <c r="D6" s="1">
        <v>6.35831917E8</v>
      </c>
      <c r="E6" s="1">
        <v>6.7757737E7</v>
      </c>
      <c r="F6" s="3">
        <f t="shared" si="1"/>
        <v>0.02543463071</v>
      </c>
      <c r="G6" s="3">
        <f t="shared" si="2"/>
        <v>0.2386760644</v>
      </c>
      <c r="H6" s="35">
        <v>0.0</v>
      </c>
    </row>
    <row r="7">
      <c r="A7" s="1">
        <v>2023.0</v>
      </c>
      <c r="B7" s="38">
        <v>5.6175906E7</v>
      </c>
      <c r="C7" s="1">
        <v>2.9668865E7</v>
      </c>
      <c r="D7" s="1">
        <v>8.34866099E8</v>
      </c>
      <c r="E7" s="38">
        <v>9.0481393E7</v>
      </c>
      <c r="F7" s="3">
        <f t="shared" si="1"/>
        <v>0.03553727362</v>
      </c>
      <c r="G7" s="3">
        <f t="shared" si="2"/>
        <v>0.3279001794</v>
      </c>
      <c r="H7" s="35">
        <v>0.0</v>
      </c>
    </row>
    <row r="8">
      <c r="G8" s="3"/>
      <c r="H8" s="39"/>
    </row>
    <row r="9">
      <c r="H9" s="39"/>
    </row>
    <row r="10">
      <c r="H10" s="39"/>
    </row>
    <row r="11">
      <c r="H11" s="39"/>
    </row>
    <row r="12">
      <c r="H12" s="39"/>
    </row>
    <row r="13">
      <c r="H13" s="39"/>
    </row>
    <row r="14">
      <c r="H14" s="39"/>
    </row>
    <row r="15">
      <c r="H15" s="39"/>
    </row>
    <row r="16">
      <c r="H16" s="39"/>
    </row>
    <row r="17">
      <c r="H17" s="39"/>
    </row>
    <row r="18">
      <c r="H18" s="39"/>
    </row>
    <row r="19">
      <c r="H19" s="39"/>
    </row>
    <row r="20">
      <c r="H20" s="39"/>
    </row>
    <row r="21">
      <c r="H21" s="39"/>
    </row>
    <row r="22">
      <c r="H22" s="39"/>
    </row>
    <row r="23">
      <c r="H23" s="39"/>
    </row>
    <row r="24">
      <c r="H24" s="39"/>
    </row>
    <row r="25">
      <c r="H25" s="39"/>
    </row>
    <row r="26">
      <c r="H26" s="39"/>
    </row>
    <row r="27">
      <c r="H27" s="39"/>
    </row>
    <row r="28">
      <c r="H28" s="39"/>
    </row>
    <row r="29">
      <c r="H29" s="39"/>
    </row>
    <row r="30">
      <c r="H30" s="39"/>
    </row>
    <row r="31">
      <c r="H31" s="39"/>
    </row>
    <row r="32">
      <c r="H32" s="39"/>
    </row>
    <row r="33">
      <c r="H33" s="39"/>
    </row>
    <row r="34">
      <c r="H34" s="39"/>
    </row>
    <row r="35">
      <c r="H35" s="39"/>
    </row>
    <row r="36">
      <c r="H36" s="39"/>
    </row>
    <row r="37">
      <c r="H37" s="39"/>
    </row>
    <row r="38">
      <c r="H38" s="39"/>
    </row>
    <row r="39">
      <c r="H39" s="39"/>
    </row>
    <row r="40">
      <c r="H40" s="39"/>
    </row>
    <row r="41">
      <c r="H41" s="39"/>
    </row>
    <row r="42">
      <c r="H42" s="39"/>
    </row>
    <row r="43">
      <c r="H43" s="39"/>
    </row>
    <row r="44">
      <c r="H44" s="39"/>
    </row>
    <row r="45">
      <c r="H45" s="39"/>
    </row>
    <row r="46">
      <c r="H46" s="39"/>
    </row>
    <row r="47">
      <c r="H47" s="39"/>
    </row>
    <row r="48">
      <c r="H48" s="39"/>
    </row>
    <row r="49">
      <c r="H49" s="39"/>
    </row>
    <row r="50">
      <c r="H50" s="39"/>
    </row>
    <row r="51">
      <c r="H51" s="39"/>
    </row>
    <row r="52">
      <c r="H52" s="39"/>
    </row>
    <row r="53">
      <c r="H53" s="39"/>
    </row>
    <row r="54">
      <c r="H54" s="39"/>
    </row>
    <row r="55">
      <c r="H55" s="39"/>
    </row>
    <row r="56">
      <c r="H56" s="39"/>
    </row>
    <row r="57">
      <c r="H57" s="39"/>
    </row>
    <row r="58">
      <c r="H58" s="39"/>
    </row>
    <row r="59">
      <c r="H59" s="39"/>
    </row>
    <row r="60">
      <c r="H60" s="39"/>
    </row>
    <row r="61">
      <c r="H61" s="39"/>
    </row>
    <row r="62">
      <c r="H62" s="39"/>
    </row>
    <row r="63">
      <c r="H63" s="39"/>
    </row>
    <row r="64">
      <c r="H64" s="39"/>
    </row>
    <row r="65">
      <c r="H65" s="39"/>
    </row>
    <row r="66">
      <c r="H66" s="39"/>
    </row>
    <row r="67">
      <c r="H67" s="39"/>
    </row>
    <row r="68">
      <c r="H68" s="39"/>
    </row>
    <row r="69">
      <c r="H69" s="39"/>
    </row>
    <row r="70">
      <c r="H70" s="39"/>
    </row>
    <row r="71">
      <c r="H71" s="39"/>
    </row>
    <row r="72">
      <c r="H72" s="39"/>
    </row>
    <row r="73">
      <c r="H73" s="39"/>
    </row>
    <row r="74">
      <c r="H74" s="39"/>
    </row>
    <row r="75">
      <c r="H75" s="39"/>
    </row>
    <row r="76">
      <c r="H76" s="39"/>
    </row>
    <row r="77">
      <c r="H77" s="39"/>
    </row>
    <row r="78">
      <c r="H78" s="39"/>
    </row>
    <row r="79">
      <c r="H79" s="39"/>
    </row>
    <row r="80">
      <c r="H80" s="39"/>
    </row>
    <row r="81">
      <c r="H81" s="39"/>
    </row>
    <row r="82">
      <c r="H82" s="39"/>
    </row>
    <row r="83">
      <c r="H83" s="39"/>
    </row>
    <row r="84">
      <c r="H84" s="39"/>
    </row>
    <row r="85">
      <c r="H85" s="39"/>
    </row>
    <row r="86">
      <c r="H86" s="39"/>
    </row>
    <row r="87">
      <c r="H87" s="39"/>
    </row>
    <row r="88">
      <c r="H88" s="39"/>
    </row>
    <row r="89">
      <c r="H89" s="39"/>
    </row>
    <row r="90">
      <c r="H90" s="39"/>
    </row>
    <row r="91">
      <c r="H91" s="39"/>
    </row>
    <row r="92">
      <c r="H92" s="39"/>
    </row>
    <row r="93">
      <c r="H93" s="39"/>
    </row>
    <row r="94">
      <c r="H94" s="39"/>
    </row>
    <row r="95">
      <c r="H95" s="39"/>
    </row>
    <row r="96">
      <c r="H96" s="39"/>
    </row>
    <row r="97">
      <c r="H97" s="39"/>
    </row>
    <row r="98">
      <c r="H98" s="39"/>
    </row>
    <row r="99">
      <c r="H99" s="39"/>
    </row>
    <row r="100">
      <c r="H100" s="39"/>
    </row>
    <row r="101">
      <c r="H101" s="39"/>
    </row>
    <row r="102">
      <c r="H102" s="39"/>
    </row>
    <row r="103">
      <c r="H103" s="39"/>
    </row>
    <row r="104">
      <c r="H104" s="39"/>
    </row>
    <row r="105">
      <c r="H105" s="39"/>
    </row>
    <row r="106">
      <c r="H106" s="39"/>
    </row>
    <row r="107">
      <c r="H107" s="39"/>
    </row>
    <row r="108">
      <c r="H108" s="39"/>
    </row>
    <row r="109">
      <c r="H109" s="39"/>
    </row>
    <row r="110">
      <c r="H110" s="39"/>
    </row>
    <row r="111">
      <c r="H111" s="39"/>
    </row>
    <row r="112">
      <c r="H112" s="39"/>
    </row>
    <row r="113">
      <c r="H113" s="39"/>
    </row>
    <row r="114">
      <c r="H114" s="39"/>
    </row>
    <row r="115">
      <c r="H115" s="39"/>
    </row>
    <row r="116">
      <c r="H116" s="39"/>
    </row>
    <row r="117">
      <c r="H117" s="39"/>
    </row>
    <row r="118">
      <c r="H118" s="39"/>
    </row>
    <row r="119">
      <c r="H119" s="39"/>
    </row>
    <row r="120">
      <c r="H120" s="39"/>
    </row>
    <row r="121">
      <c r="H121" s="39"/>
    </row>
    <row r="122">
      <c r="H122" s="39"/>
    </row>
    <row r="123">
      <c r="H123" s="39"/>
    </row>
    <row r="124">
      <c r="H124" s="39"/>
    </row>
    <row r="125">
      <c r="H125" s="39"/>
    </row>
    <row r="126">
      <c r="H126" s="39"/>
    </row>
    <row r="127">
      <c r="H127" s="39"/>
    </row>
    <row r="128">
      <c r="H128" s="39"/>
    </row>
    <row r="129">
      <c r="H129" s="39"/>
    </row>
    <row r="130">
      <c r="H130" s="39"/>
    </row>
    <row r="131">
      <c r="H131" s="39"/>
    </row>
    <row r="132">
      <c r="H132" s="39"/>
    </row>
    <row r="133">
      <c r="H133" s="39"/>
    </row>
    <row r="134">
      <c r="H134" s="39"/>
    </row>
    <row r="135">
      <c r="H135" s="39"/>
    </row>
    <row r="136">
      <c r="H136" s="39"/>
    </row>
    <row r="137">
      <c r="H137" s="39"/>
    </row>
    <row r="138">
      <c r="H138" s="39"/>
    </row>
    <row r="139">
      <c r="H139" s="39"/>
    </row>
    <row r="140">
      <c r="H140" s="39"/>
    </row>
    <row r="141">
      <c r="H141" s="39"/>
    </row>
    <row r="142">
      <c r="H142" s="39"/>
    </row>
    <row r="143">
      <c r="H143" s="39"/>
    </row>
    <row r="144">
      <c r="H144" s="39"/>
    </row>
    <row r="145">
      <c r="H145" s="39"/>
    </row>
    <row r="146">
      <c r="H146" s="39"/>
    </row>
    <row r="147">
      <c r="H147" s="39"/>
    </row>
    <row r="148">
      <c r="H148" s="39"/>
    </row>
    <row r="149">
      <c r="H149" s="39"/>
    </row>
    <row r="150">
      <c r="H150" s="39"/>
    </row>
    <row r="151">
      <c r="H151" s="39"/>
    </row>
    <row r="152">
      <c r="H152" s="39"/>
    </row>
    <row r="153">
      <c r="H153" s="39"/>
    </row>
    <row r="154">
      <c r="H154" s="39"/>
    </row>
    <row r="155">
      <c r="H155" s="39"/>
    </row>
    <row r="156">
      <c r="H156" s="39"/>
    </row>
    <row r="157">
      <c r="H157" s="39"/>
    </row>
    <row r="158">
      <c r="H158" s="39"/>
    </row>
    <row r="159">
      <c r="H159" s="39"/>
    </row>
    <row r="160">
      <c r="H160" s="39"/>
    </row>
    <row r="161">
      <c r="H161" s="39"/>
    </row>
    <row r="162">
      <c r="H162" s="39"/>
    </row>
    <row r="163">
      <c r="H163" s="39"/>
    </row>
    <row r="164">
      <c r="H164" s="39"/>
    </row>
    <row r="165">
      <c r="H165" s="39"/>
    </row>
    <row r="166">
      <c r="H166" s="39"/>
    </row>
    <row r="167">
      <c r="H167" s="39"/>
    </row>
    <row r="168">
      <c r="H168" s="39"/>
    </row>
    <row r="169">
      <c r="H169" s="39"/>
    </row>
    <row r="170">
      <c r="H170" s="39"/>
    </row>
    <row r="171">
      <c r="H171" s="39"/>
    </row>
    <row r="172">
      <c r="H172" s="39"/>
    </row>
    <row r="173">
      <c r="H173" s="39"/>
    </row>
    <row r="174">
      <c r="H174" s="39"/>
    </row>
    <row r="175">
      <c r="H175" s="39"/>
    </row>
    <row r="176">
      <c r="H176" s="39"/>
    </row>
    <row r="177">
      <c r="H177" s="39"/>
    </row>
    <row r="178">
      <c r="H178" s="39"/>
    </row>
    <row r="179">
      <c r="H179" s="39"/>
    </row>
    <row r="180">
      <c r="H180" s="39"/>
    </row>
    <row r="181">
      <c r="H181" s="39"/>
    </row>
    <row r="182">
      <c r="H182" s="39"/>
    </row>
    <row r="183">
      <c r="H183" s="39"/>
    </row>
    <row r="184">
      <c r="H184" s="39"/>
    </row>
    <row r="185">
      <c r="H185" s="39"/>
    </row>
    <row r="186">
      <c r="H186" s="39"/>
    </row>
    <row r="187">
      <c r="H187" s="39"/>
    </row>
    <row r="188">
      <c r="H188" s="39"/>
    </row>
    <row r="189">
      <c r="H189" s="39"/>
    </row>
    <row r="190">
      <c r="H190" s="39"/>
    </row>
    <row r="191">
      <c r="H191" s="39"/>
    </row>
    <row r="192">
      <c r="H192" s="39"/>
    </row>
    <row r="193">
      <c r="H193" s="39"/>
    </row>
    <row r="194">
      <c r="H194" s="39"/>
    </row>
    <row r="195">
      <c r="H195" s="39"/>
    </row>
    <row r="196">
      <c r="H196" s="39"/>
    </row>
    <row r="197">
      <c r="H197" s="39"/>
    </row>
    <row r="198">
      <c r="H198" s="39"/>
    </row>
    <row r="199">
      <c r="H199" s="39"/>
    </row>
    <row r="200">
      <c r="H200" s="39"/>
    </row>
    <row r="201">
      <c r="H201" s="39"/>
    </row>
    <row r="202">
      <c r="H202" s="39"/>
    </row>
    <row r="203">
      <c r="H203" s="39"/>
    </row>
    <row r="204">
      <c r="H204" s="39"/>
    </row>
    <row r="205">
      <c r="H205" s="39"/>
    </row>
    <row r="206">
      <c r="H206" s="39"/>
    </row>
    <row r="207">
      <c r="H207" s="39"/>
    </row>
    <row r="208">
      <c r="H208" s="39"/>
    </row>
    <row r="209">
      <c r="H209" s="39"/>
    </row>
    <row r="210">
      <c r="H210" s="39"/>
    </row>
    <row r="211">
      <c r="H211" s="39"/>
    </row>
    <row r="212">
      <c r="H212" s="39"/>
    </row>
    <row r="213">
      <c r="H213" s="39"/>
    </row>
    <row r="214">
      <c r="H214" s="39"/>
    </row>
    <row r="215">
      <c r="H215" s="39"/>
    </row>
    <row r="216">
      <c r="H216" s="39"/>
    </row>
    <row r="217">
      <c r="H217" s="39"/>
    </row>
    <row r="218">
      <c r="H218" s="39"/>
    </row>
    <row r="219">
      <c r="H219" s="39"/>
    </row>
    <row r="220">
      <c r="H220" s="39"/>
    </row>
    <row r="221">
      <c r="H221" s="39"/>
    </row>
    <row r="222">
      <c r="H222" s="39"/>
    </row>
    <row r="223">
      <c r="H223" s="39"/>
    </row>
    <row r="224">
      <c r="H224" s="39"/>
    </row>
    <row r="225">
      <c r="H225" s="39"/>
    </row>
    <row r="226">
      <c r="H226" s="39"/>
    </row>
    <row r="227">
      <c r="H227" s="39"/>
    </row>
    <row r="228">
      <c r="H228" s="39"/>
    </row>
    <row r="229">
      <c r="H229" s="39"/>
    </row>
    <row r="230">
      <c r="H230" s="39"/>
    </row>
    <row r="231">
      <c r="H231" s="39"/>
    </row>
    <row r="232">
      <c r="H232" s="39"/>
    </row>
    <row r="233">
      <c r="H233" s="39"/>
    </row>
    <row r="234">
      <c r="H234" s="39"/>
    </row>
    <row r="235">
      <c r="H235" s="39"/>
    </row>
    <row r="236">
      <c r="H236" s="39"/>
    </row>
    <row r="237">
      <c r="H237" s="39"/>
    </row>
    <row r="238">
      <c r="H238" s="39"/>
    </row>
    <row r="239">
      <c r="H239" s="39"/>
    </row>
    <row r="240">
      <c r="H240" s="39"/>
    </row>
    <row r="241">
      <c r="H241" s="39"/>
    </row>
    <row r="242">
      <c r="H242" s="39"/>
    </row>
    <row r="243">
      <c r="H243" s="39"/>
    </row>
    <row r="244">
      <c r="H244" s="39"/>
    </row>
    <row r="245">
      <c r="H245" s="39"/>
    </row>
    <row r="246">
      <c r="H246" s="39"/>
    </row>
    <row r="247">
      <c r="H247" s="39"/>
    </row>
    <row r="248">
      <c r="H248" s="39"/>
    </row>
    <row r="249">
      <c r="H249" s="39"/>
    </row>
    <row r="250">
      <c r="H250" s="39"/>
    </row>
    <row r="251">
      <c r="H251" s="39"/>
    </row>
    <row r="252">
      <c r="H252" s="39"/>
    </row>
    <row r="253">
      <c r="H253" s="39"/>
    </row>
    <row r="254">
      <c r="H254" s="39"/>
    </row>
    <row r="255">
      <c r="H255" s="39"/>
    </row>
    <row r="256">
      <c r="H256" s="39"/>
    </row>
    <row r="257">
      <c r="H257" s="39"/>
    </row>
    <row r="258">
      <c r="H258" s="39"/>
    </row>
    <row r="259">
      <c r="H259" s="39"/>
    </row>
    <row r="260">
      <c r="H260" s="39"/>
    </row>
    <row r="261">
      <c r="H261" s="39"/>
    </row>
    <row r="262">
      <c r="H262" s="39"/>
    </row>
    <row r="263">
      <c r="H263" s="39"/>
    </row>
    <row r="264">
      <c r="H264" s="39"/>
    </row>
    <row r="265">
      <c r="H265" s="39"/>
    </row>
    <row r="266">
      <c r="H266" s="39"/>
    </row>
    <row r="267">
      <c r="H267" s="39"/>
    </row>
    <row r="268">
      <c r="H268" s="39"/>
    </row>
    <row r="269">
      <c r="H269" s="39"/>
    </row>
    <row r="270">
      <c r="H270" s="39"/>
    </row>
    <row r="271">
      <c r="H271" s="39"/>
    </row>
    <row r="272">
      <c r="H272" s="39"/>
    </row>
    <row r="273">
      <c r="H273" s="39"/>
    </row>
    <row r="274">
      <c r="H274" s="39"/>
    </row>
    <row r="275">
      <c r="H275" s="39"/>
    </row>
    <row r="276">
      <c r="H276" s="39"/>
    </row>
    <row r="277">
      <c r="H277" s="39"/>
    </row>
    <row r="278">
      <c r="H278" s="39"/>
    </row>
    <row r="279">
      <c r="H279" s="39"/>
    </row>
    <row r="280">
      <c r="H280" s="39"/>
    </row>
    <row r="281">
      <c r="H281" s="39"/>
    </row>
    <row r="282">
      <c r="H282" s="39"/>
    </row>
    <row r="283">
      <c r="H283" s="39"/>
    </row>
    <row r="284">
      <c r="H284" s="39"/>
    </row>
    <row r="285">
      <c r="H285" s="39"/>
    </row>
    <row r="286">
      <c r="H286" s="39"/>
    </row>
    <row r="287">
      <c r="H287" s="39"/>
    </row>
    <row r="288">
      <c r="H288" s="39"/>
    </row>
    <row r="289">
      <c r="H289" s="39"/>
    </row>
    <row r="290">
      <c r="H290" s="39"/>
    </row>
    <row r="291">
      <c r="H291" s="39"/>
    </row>
    <row r="292">
      <c r="H292" s="39"/>
    </row>
    <row r="293">
      <c r="H293" s="39"/>
    </row>
    <row r="294">
      <c r="H294" s="39"/>
    </row>
    <row r="295">
      <c r="H295" s="39"/>
    </row>
    <row r="296">
      <c r="H296" s="39"/>
    </row>
    <row r="297">
      <c r="H297" s="39"/>
    </row>
    <row r="298">
      <c r="H298" s="39"/>
    </row>
    <row r="299">
      <c r="H299" s="39"/>
    </row>
    <row r="300">
      <c r="H300" s="39"/>
    </row>
    <row r="301">
      <c r="H301" s="39"/>
    </row>
    <row r="302">
      <c r="H302" s="39"/>
    </row>
    <row r="303">
      <c r="H303" s="39"/>
    </row>
    <row r="304">
      <c r="H304" s="39"/>
    </row>
    <row r="305">
      <c r="H305" s="39"/>
    </row>
    <row r="306">
      <c r="H306" s="39"/>
    </row>
    <row r="307">
      <c r="H307" s="39"/>
    </row>
    <row r="308">
      <c r="H308" s="39"/>
    </row>
    <row r="309">
      <c r="H309" s="39"/>
    </row>
    <row r="310">
      <c r="H310" s="39"/>
    </row>
    <row r="311">
      <c r="H311" s="39"/>
    </row>
    <row r="312">
      <c r="H312" s="39"/>
    </row>
    <row r="313">
      <c r="H313" s="39"/>
    </row>
    <row r="314">
      <c r="H314" s="39"/>
    </row>
    <row r="315">
      <c r="H315" s="39"/>
    </row>
    <row r="316">
      <c r="H316" s="39"/>
    </row>
    <row r="317">
      <c r="H317" s="39"/>
    </row>
    <row r="318">
      <c r="H318" s="39"/>
    </row>
    <row r="319">
      <c r="H319" s="39"/>
    </row>
    <row r="320">
      <c r="H320" s="39"/>
    </row>
    <row r="321">
      <c r="H321" s="39"/>
    </row>
    <row r="322">
      <c r="H322" s="39"/>
    </row>
    <row r="323">
      <c r="H323" s="39"/>
    </row>
    <row r="324">
      <c r="H324" s="39"/>
    </row>
    <row r="325">
      <c r="H325" s="39"/>
    </row>
    <row r="326">
      <c r="H326" s="39"/>
    </row>
    <row r="327">
      <c r="H327" s="39"/>
    </row>
    <row r="328">
      <c r="H328" s="39"/>
    </row>
    <row r="329">
      <c r="H329" s="39"/>
    </row>
    <row r="330">
      <c r="H330" s="39"/>
    </row>
    <row r="331">
      <c r="H331" s="39"/>
    </row>
    <row r="332">
      <c r="H332" s="39"/>
    </row>
    <row r="333">
      <c r="H333" s="39"/>
    </row>
    <row r="334">
      <c r="H334" s="39"/>
    </row>
    <row r="335">
      <c r="H335" s="39"/>
    </row>
    <row r="336">
      <c r="H336" s="39"/>
    </row>
    <row r="337">
      <c r="H337" s="39"/>
    </row>
    <row r="338">
      <c r="H338" s="39"/>
    </row>
    <row r="339">
      <c r="H339" s="39"/>
    </row>
    <row r="340">
      <c r="H340" s="39"/>
    </row>
    <row r="341">
      <c r="H341" s="39"/>
    </row>
    <row r="342">
      <c r="H342" s="39"/>
    </row>
    <row r="343">
      <c r="H343" s="39"/>
    </row>
    <row r="344">
      <c r="H344" s="39"/>
    </row>
    <row r="345">
      <c r="H345" s="39"/>
    </row>
    <row r="346">
      <c r="H346" s="39"/>
    </row>
    <row r="347">
      <c r="H347" s="39"/>
    </row>
    <row r="348">
      <c r="H348" s="39"/>
    </row>
    <row r="349">
      <c r="H349" s="39"/>
    </row>
    <row r="350">
      <c r="H350" s="39"/>
    </row>
    <row r="351">
      <c r="H351" s="39"/>
    </row>
    <row r="352">
      <c r="H352" s="39"/>
    </row>
    <row r="353">
      <c r="H353" s="39"/>
    </row>
    <row r="354">
      <c r="H354" s="39"/>
    </row>
    <row r="355">
      <c r="H355" s="39"/>
    </row>
    <row r="356">
      <c r="H356" s="39"/>
    </row>
    <row r="357">
      <c r="H357" s="39"/>
    </row>
    <row r="358">
      <c r="H358" s="39"/>
    </row>
    <row r="359">
      <c r="H359" s="39"/>
    </row>
    <row r="360">
      <c r="H360" s="39"/>
    </row>
    <row r="361">
      <c r="H361" s="39"/>
    </row>
    <row r="362">
      <c r="H362" s="39"/>
    </row>
    <row r="363">
      <c r="H363" s="39"/>
    </row>
    <row r="364">
      <c r="H364" s="39"/>
    </row>
    <row r="365">
      <c r="H365" s="39"/>
    </row>
    <row r="366">
      <c r="H366" s="39"/>
    </row>
    <row r="367">
      <c r="H367" s="39"/>
    </row>
    <row r="368">
      <c r="H368" s="39"/>
    </row>
    <row r="369">
      <c r="H369" s="39"/>
    </row>
    <row r="370">
      <c r="H370" s="39"/>
    </row>
    <row r="371">
      <c r="H371" s="39"/>
    </row>
    <row r="372">
      <c r="H372" s="39"/>
    </row>
    <row r="373">
      <c r="H373" s="39"/>
    </row>
    <row r="374">
      <c r="H374" s="39"/>
    </row>
    <row r="375">
      <c r="H375" s="39"/>
    </row>
    <row r="376">
      <c r="H376" s="39"/>
    </row>
    <row r="377">
      <c r="H377" s="39"/>
    </row>
    <row r="378">
      <c r="H378" s="39"/>
    </row>
    <row r="379">
      <c r="H379" s="39"/>
    </row>
    <row r="380">
      <c r="H380" s="39"/>
    </row>
    <row r="381">
      <c r="H381" s="39"/>
    </row>
    <row r="382">
      <c r="H382" s="39"/>
    </row>
    <row r="383">
      <c r="H383" s="39"/>
    </row>
    <row r="384">
      <c r="H384" s="39"/>
    </row>
    <row r="385">
      <c r="H385" s="39"/>
    </row>
    <row r="386">
      <c r="H386" s="39"/>
    </row>
    <row r="387">
      <c r="H387" s="39"/>
    </row>
    <row r="388">
      <c r="H388" s="39"/>
    </row>
    <row r="389">
      <c r="H389" s="39"/>
    </row>
    <row r="390">
      <c r="H390" s="39"/>
    </row>
    <row r="391">
      <c r="H391" s="39"/>
    </row>
    <row r="392">
      <c r="H392" s="39"/>
    </row>
    <row r="393">
      <c r="H393" s="39"/>
    </row>
    <row r="394">
      <c r="H394" s="39"/>
    </row>
    <row r="395">
      <c r="H395" s="39"/>
    </row>
    <row r="396">
      <c r="H396" s="39"/>
    </row>
    <row r="397">
      <c r="H397" s="39"/>
    </row>
    <row r="398">
      <c r="H398" s="39"/>
    </row>
    <row r="399">
      <c r="H399" s="39"/>
    </row>
    <row r="400">
      <c r="H400" s="39"/>
    </row>
    <row r="401">
      <c r="H401" s="39"/>
    </row>
    <row r="402">
      <c r="H402" s="39"/>
    </row>
    <row r="403">
      <c r="H403" s="39"/>
    </row>
    <row r="404">
      <c r="H404" s="39"/>
    </row>
    <row r="405">
      <c r="H405" s="39"/>
    </row>
    <row r="406">
      <c r="H406" s="39"/>
    </row>
    <row r="407">
      <c r="H407" s="39"/>
    </row>
    <row r="408">
      <c r="H408" s="39"/>
    </row>
    <row r="409">
      <c r="H409" s="39"/>
    </row>
    <row r="410">
      <c r="H410" s="39"/>
    </row>
    <row r="411">
      <c r="H411" s="39"/>
    </row>
    <row r="412">
      <c r="H412" s="39"/>
    </row>
    <row r="413">
      <c r="H413" s="39"/>
    </row>
    <row r="414">
      <c r="H414" s="39"/>
    </row>
    <row r="415">
      <c r="H415" s="39"/>
    </row>
    <row r="416">
      <c r="H416" s="39"/>
    </row>
    <row r="417">
      <c r="H417" s="39"/>
    </row>
    <row r="418">
      <c r="H418" s="39"/>
    </row>
    <row r="419">
      <c r="H419" s="39"/>
    </row>
    <row r="420">
      <c r="H420" s="39"/>
    </row>
    <row r="421">
      <c r="H421" s="39"/>
    </row>
    <row r="422">
      <c r="H422" s="39"/>
    </row>
    <row r="423">
      <c r="H423" s="39"/>
    </row>
    <row r="424">
      <c r="H424" s="39"/>
    </row>
    <row r="425">
      <c r="H425" s="39"/>
    </row>
    <row r="426">
      <c r="H426" s="39"/>
    </row>
    <row r="427">
      <c r="H427" s="39"/>
    </row>
    <row r="428">
      <c r="H428" s="39"/>
    </row>
    <row r="429">
      <c r="H429" s="39"/>
    </row>
    <row r="430">
      <c r="H430" s="39"/>
    </row>
    <row r="431">
      <c r="H431" s="39"/>
    </row>
    <row r="432">
      <c r="H432" s="39"/>
    </row>
    <row r="433">
      <c r="H433" s="39"/>
    </row>
    <row r="434">
      <c r="H434" s="39"/>
    </row>
    <row r="435">
      <c r="H435" s="39"/>
    </row>
    <row r="436">
      <c r="H436" s="39"/>
    </row>
    <row r="437">
      <c r="H437" s="39"/>
    </row>
    <row r="438">
      <c r="H438" s="39"/>
    </row>
    <row r="439">
      <c r="H439" s="39"/>
    </row>
    <row r="440">
      <c r="H440" s="39"/>
    </row>
    <row r="441">
      <c r="H441" s="39"/>
    </row>
    <row r="442">
      <c r="H442" s="39"/>
    </row>
    <row r="443">
      <c r="H443" s="39"/>
    </row>
    <row r="444">
      <c r="H444" s="39"/>
    </row>
    <row r="445">
      <c r="H445" s="39"/>
    </row>
    <row r="446">
      <c r="H446" s="39"/>
    </row>
    <row r="447">
      <c r="H447" s="39"/>
    </row>
    <row r="448">
      <c r="H448" s="39"/>
    </row>
    <row r="449">
      <c r="H449" s="39"/>
    </row>
    <row r="450">
      <c r="H450" s="39"/>
    </row>
    <row r="451">
      <c r="H451" s="39"/>
    </row>
    <row r="452">
      <c r="H452" s="39"/>
    </row>
    <row r="453">
      <c r="H453" s="39"/>
    </row>
    <row r="454">
      <c r="H454" s="39"/>
    </row>
    <row r="455">
      <c r="H455" s="39"/>
    </row>
    <row r="456">
      <c r="H456" s="39"/>
    </row>
    <row r="457">
      <c r="H457" s="39"/>
    </row>
    <row r="458">
      <c r="H458" s="39"/>
    </row>
    <row r="459">
      <c r="H459" s="39"/>
    </row>
    <row r="460">
      <c r="H460" s="39"/>
    </row>
    <row r="461">
      <c r="H461" s="39"/>
    </row>
    <row r="462">
      <c r="H462" s="39"/>
    </row>
    <row r="463">
      <c r="H463" s="39"/>
    </row>
    <row r="464">
      <c r="H464" s="39"/>
    </row>
    <row r="465">
      <c r="H465" s="39"/>
    </row>
    <row r="466">
      <c r="H466" s="39"/>
    </row>
    <row r="467">
      <c r="H467" s="39"/>
    </row>
    <row r="468">
      <c r="H468" s="39"/>
    </row>
    <row r="469">
      <c r="H469" s="39"/>
    </row>
    <row r="470">
      <c r="H470" s="39"/>
    </row>
    <row r="471">
      <c r="H471" s="39"/>
    </row>
    <row r="472">
      <c r="H472" s="39"/>
    </row>
    <row r="473">
      <c r="H473" s="39"/>
    </row>
    <row r="474">
      <c r="H474" s="39"/>
    </row>
    <row r="475">
      <c r="H475" s="39"/>
    </row>
    <row r="476">
      <c r="H476" s="39"/>
    </row>
    <row r="477">
      <c r="H477" s="39"/>
    </row>
    <row r="478">
      <c r="H478" s="39"/>
    </row>
    <row r="479">
      <c r="H479" s="39"/>
    </row>
    <row r="480">
      <c r="H480" s="39"/>
    </row>
    <row r="481">
      <c r="H481" s="39"/>
    </row>
    <row r="482">
      <c r="H482" s="39"/>
    </row>
    <row r="483">
      <c r="H483" s="39"/>
    </row>
    <row r="484">
      <c r="H484" s="39"/>
    </row>
    <row r="485">
      <c r="H485" s="39"/>
    </row>
    <row r="486">
      <c r="H486" s="39"/>
    </row>
    <row r="487">
      <c r="H487" s="39"/>
    </row>
    <row r="488">
      <c r="H488" s="39"/>
    </row>
    <row r="489">
      <c r="H489" s="39"/>
    </row>
    <row r="490">
      <c r="H490" s="39"/>
    </row>
    <row r="491">
      <c r="H491" s="39"/>
    </row>
    <row r="492">
      <c r="H492" s="39"/>
    </row>
    <row r="493">
      <c r="H493" s="39"/>
    </row>
    <row r="494">
      <c r="H494" s="39"/>
    </row>
    <row r="495">
      <c r="H495" s="39"/>
    </row>
    <row r="496">
      <c r="H496" s="39"/>
    </row>
    <row r="497">
      <c r="H497" s="39"/>
    </row>
    <row r="498">
      <c r="H498" s="39"/>
    </row>
    <row r="499">
      <c r="H499" s="39"/>
    </row>
    <row r="500">
      <c r="H500" s="39"/>
    </row>
    <row r="501">
      <c r="H501" s="39"/>
    </row>
    <row r="502">
      <c r="H502" s="39"/>
    </row>
    <row r="503">
      <c r="H503" s="39"/>
    </row>
    <row r="504">
      <c r="H504" s="39"/>
    </row>
    <row r="505">
      <c r="H505" s="39"/>
    </row>
    <row r="506">
      <c r="H506" s="39"/>
    </row>
    <row r="507">
      <c r="H507" s="39"/>
    </row>
    <row r="508">
      <c r="H508" s="39"/>
    </row>
    <row r="509">
      <c r="H509" s="39"/>
    </row>
    <row r="510">
      <c r="H510" s="39"/>
    </row>
    <row r="511">
      <c r="H511" s="39"/>
    </row>
    <row r="512">
      <c r="H512" s="39"/>
    </row>
    <row r="513">
      <c r="H513" s="39"/>
    </row>
    <row r="514">
      <c r="H514" s="39"/>
    </row>
    <row r="515">
      <c r="H515" s="39"/>
    </row>
    <row r="516">
      <c r="H516" s="39"/>
    </row>
    <row r="517">
      <c r="H517" s="39"/>
    </row>
    <row r="518">
      <c r="H518" s="39"/>
    </row>
    <row r="519">
      <c r="H519" s="39"/>
    </row>
    <row r="520">
      <c r="H520" s="39"/>
    </row>
    <row r="521">
      <c r="H521" s="39"/>
    </row>
    <row r="522">
      <c r="H522" s="39"/>
    </row>
    <row r="523">
      <c r="H523" s="39"/>
    </row>
    <row r="524">
      <c r="H524" s="39"/>
    </row>
    <row r="525">
      <c r="H525" s="39"/>
    </row>
    <row r="526">
      <c r="H526" s="39"/>
    </row>
    <row r="527">
      <c r="H527" s="39"/>
    </row>
    <row r="528">
      <c r="H528" s="39"/>
    </row>
    <row r="529">
      <c r="H529" s="39"/>
    </row>
    <row r="530">
      <c r="H530" s="39"/>
    </row>
    <row r="531">
      <c r="H531" s="39"/>
    </row>
    <row r="532">
      <c r="H532" s="39"/>
    </row>
    <row r="533">
      <c r="H533" s="39"/>
    </row>
    <row r="534">
      <c r="H534" s="39"/>
    </row>
    <row r="535">
      <c r="H535" s="39"/>
    </row>
    <row r="536">
      <c r="H536" s="39"/>
    </row>
    <row r="537">
      <c r="H537" s="39"/>
    </row>
    <row r="538">
      <c r="H538" s="39"/>
    </row>
    <row r="539">
      <c r="H539" s="39"/>
    </row>
    <row r="540">
      <c r="H540" s="39"/>
    </row>
    <row r="541">
      <c r="H541" s="39"/>
    </row>
    <row r="542">
      <c r="H542" s="39"/>
    </row>
    <row r="543">
      <c r="H543" s="39"/>
    </row>
    <row r="544">
      <c r="H544" s="39"/>
    </row>
    <row r="545">
      <c r="H545" s="39"/>
    </row>
    <row r="546">
      <c r="H546" s="39"/>
    </row>
    <row r="547">
      <c r="H547" s="39"/>
    </row>
    <row r="548">
      <c r="H548" s="39"/>
    </row>
    <row r="549">
      <c r="H549" s="39"/>
    </row>
    <row r="550">
      <c r="H550" s="39"/>
    </row>
    <row r="551">
      <c r="H551" s="39"/>
    </row>
    <row r="552">
      <c r="H552" s="39"/>
    </row>
    <row r="553">
      <c r="H553" s="39"/>
    </row>
    <row r="554">
      <c r="H554" s="39"/>
    </row>
    <row r="555">
      <c r="H555" s="39"/>
    </row>
    <row r="556">
      <c r="H556" s="39"/>
    </row>
    <row r="557">
      <c r="H557" s="39"/>
    </row>
    <row r="558">
      <c r="H558" s="39"/>
    </row>
    <row r="559">
      <c r="H559" s="39"/>
    </row>
    <row r="560">
      <c r="H560" s="39"/>
    </row>
    <row r="561">
      <c r="H561" s="39"/>
    </row>
    <row r="562">
      <c r="H562" s="39"/>
    </row>
    <row r="563">
      <c r="H563" s="39"/>
    </row>
    <row r="564">
      <c r="H564" s="39"/>
    </row>
    <row r="565">
      <c r="H565" s="39"/>
    </row>
    <row r="566">
      <c r="H566" s="39"/>
    </row>
    <row r="567">
      <c r="H567" s="39"/>
    </row>
    <row r="568">
      <c r="H568" s="39"/>
    </row>
    <row r="569">
      <c r="H569" s="39"/>
    </row>
    <row r="570">
      <c r="H570" s="39"/>
    </row>
    <row r="571">
      <c r="H571" s="39"/>
    </row>
    <row r="572">
      <c r="H572" s="39"/>
    </row>
    <row r="573">
      <c r="H573" s="39"/>
    </row>
    <row r="574">
      <c r="H574" s="39"/>
    </row>
    <row r="575">
      <c r="H575" s="39"/>
    </row>
    <row r="576">
      <c r="H576" s="39"/>
    </row>
    <row r="577">
      <c r="H577" s="39"/>
    </row>
    <row r="578">
      <c r="H578" s="39"/>
    </row>
    <row r="579">
      <c r="H579" s="39"/>
    </row>
    <row r="580">
      <c r="H580" s="39"/>
    </row>
    <row r="581">
      <c r="H581" s="39"/>
    </row>
    <row r="582">
      <c r="H582" s="39"/>
    </row>
    <row r="583">
      <c r="H583" s="39"/>
    </row>
    <row r="584">
      <c r="H584" s="39"/>
    </row>
    <row r="585">
      <c r="H585" s="39"/>
    </row>
    <row r="586">
      <c r="H586" s="39"/>
    </row>
    <row r="587">
      <c r="H587" s="39"/>
    </row>
    <row r="588">
      <c r="H588" s="39"/>
    </row>
    <row r="589">
      <c r="H589" s="39"/>
    </row>
    <row r="590">
      <c r="H590" s="39"/>
    </row>
    <row r="591">
      <c r="H591" s="39"/>
    </row>
    <row r="592">
      <c r="H592" s="39"/>
    </row>
    <row r="593">
      <c r="H593" s="39"/>
    </row>
    <row r="594">
      <c r="H594" s="39"/>
    </row>
    <row r="595">
      <c r="H595" s="39"/>
    </row>
    <row r="596">
      <c r="H596" s="39"/>
    </row>
    <row r="597">
      <c r="H597" s="39"/>
    </row>
    <row r="598">
      <c r="H598" s="39"/>
    </row>
    <row r="599">
      <c r="H599" s="39"/>
    </row>
    <row r="600">
      <c r="H600" s="39"/>
    </row>
    <row r="601">
      <c r="H601" s="39"/>
    </row>
    <row r="602">
      <c r="H602" s="39"/>
    </row>
    <row r="603">
      <c r="H603" s="39"/>
    </row>
    <row r="604">
      <c r="H604" s="39"/>
    </row>
    <row r="605">
      <c r="H605" s="39"/>
    </row>
    <row r="606">
      <c r="H606" s="39"/>
    </row>
    <row r="607">
      <c r="H607" s="39"/>
    </row>
    <row r="608">
      <c r="H608" s="39"/>
    </row>
    <row r="609">
      <c r="H609" s="39"/>
    </row>
    <row r="610">
      <c r="H610" s="39"/>
    </row>
    <row r="611">
      <c r="H611" s="39"/>
    </row>
    <row r="612">
      <c r="H612" s="39"/>
    </row>
    <row r="613">
      <c r="H613" s="39"/>
    </row>
    <row r="614">
      <c r="H614" s="39"/>
    </row>
    <row r="615">
      <c r="H615" s="39"/>
    </row>
    <row r="616">
      <c r="H616" s="39"/>
    </row>
    <row r="617">
      <c r="H617" s="39"/>
    </row>
    <row r="618">
      <c r="H618" s="39"/>
    </row>
    <row r="619">
      <c r="H619" s="39"/>
    </row>
    <row r="620">
      <c r="H620" s="39"/>
    </row>
    <row r="621">
      <c r="H621" s="39"/>
    </row>
    <row r="622">
      <c r="H622" s="39"/>
    </row>
    <row r="623">
      <c r="H623" s="39"/>
    </row>
    <row r="624">
      <c r="H624" s="39"/>
    </row>
    <row r="625">
      <c r="H625" s="39"/>
    </row>
    <row r="626">
      <c r="H626" s="39"/>
    </row>
    <row r="627">
      <c r="H627" s="39"/>
    </row>
    <row r="628">
      <c r="H628" s="39"/>
    </row>
    <row r="629">
      <c r="H629" s="39"/>
    </row>
    <row r="630">
      <c r="H630" s="39"/>
    </row>
    <row r="631">
      <c r="H631" s="39"/>
    </row>
    <row r="632">
      <c r="H632" s="39"/>
    </row>
    <row r="633">
      <c r="H633" s="39"/>
    </row>
    <row r="634">
      <c r="H634" s="39"/>
    </row>
    <row r="635">
      <c r="H635" s="39"/>
    </row>
    <row r="636">
      <c r="H636" s="39"/>
    </row>
    <row r="637">
      <c r="H637" s="39"/>
    </row>
    <row r="638">
      <c r="H638" s="39"/>
    </row>
    <row r="639">
      <c r="H639" s="39"/>
    </row>
    <row r="640">
      <c r="H640" s="39"/>
    </row>
    <row r="641">
      <c r="H641" s="39"/>
    </row>
    <row r="642">
      <c r="H642" s="39"/>
    </row>
    <row r="643">
      <c r="H643" s="39"/>
    </row>
    <row r="644">
      <c r="H644" s="39"/>
    </row>
    <row r="645">
      <c r="H645" s="39"/>
    </row>
    <row r="646">
      <c r="H646" s="39"/>
    </row>
    <row r="647">
      <c r="H647" s="39"/>
    </row>
    <row r="648">
      <c r="H648" s="39"/>
    </row>
    <row r="649">
      <c r="H649" s="39"/>
    </row>
    <row r="650">
      <c r="H650" s="39"/>
    </row>
    <row r="651">
      <c r="H651" s="39"/>
    </row>
    <row r="652">
      <c r="H652" s="39"/>
    </row>
    <row r="653">
      <c r="H653" s="39"/>
    </row>
    <row r="654">
      <c r="H654" s="39"/>
    </row>
    <row r="655">
      <c r="H655" s="39"/>
    </row>
    <row r="656">
      <c r="H656" s="39"/>
    </row>
    <row r="657">
      <c r="H657" s="39"/>
    </row>
    <row r="658">
      <c r="H658" s="39"/>
    </row>
    <row r="659">
      <c r="H659" s="39"/>
    </row>
    <row r="660">
      <c r="H660" s="39"/>
    </row>
    <row r="661">
      <c r="H661" s="39"/>
    </row>
    <row r="662">
      <c r="H662" s="39"/>
    </row>
    <row r="663">
      <c r="H663" s="39"/>
    </row>
    <row r="664">
      <c r="H664" s="39"/>
    </row>
    <row r="665">
      <c r="H665" s="39"/>
    </row>
    <row r="666">
      <c r="H666" s="39"/>
    </row>
    <row r="667">
      <c r="H667" s="39"/>
    </row>
    <row r="668">
      <c r="H668" s="39"/>
    </row>
    <row r="669">
      <c r="H669" s="39"/>
    </row>
    <row r="670">
      <c r="H670" s="39"/>
    </row>
    <row r="671">
      <c r="H671" s="39"/>
    </row>
    <row r="672">
      <c r="H672" s="39"/>
    </row>
    <row r="673">
      <c r="H673" s="39"/>
    </row>
    <row r="674">
      <c r="H674" s="39"/>
    </row>
    <row r="675">
      <c r="H675" s="39"/>
    </row>
    <row r="676">
      <c r="H676" s="39"/>
    </row>
    <row r="677">
      <c r="H677" s="39"/>
    </row>
    <row r="678">
      <c r="H678" s="39"/>
    </row>
    <row r="679">
      <c r="H679" s="39"/>
    </row>
    <row r="680">
      <c r="H680" s="39"/>
    </row>
    <row r="681">
      <c r="H681" s="39"/>
    </row>
    <row r="682">
      <c r="H682" s="39"/>
    </row>
    <row r="683">
      <c r="H683" s="39"/>
    </row>
    <row r="684">
      <c r="H684" s="39"/>
    </row>
    <row r="685">
      <c r="H685" s="39"/>
    </row>
    <row r="686">
      <c r="H686" s="39"/>
    </row>
    <row r="687">
      <c r="H687" s="39"/>
    </row>
    <row r="688">
      <c r="H688" s="39"/>
    </row>
    <row r="689">
      <c r="H689" s="39"/>
    </row>
    <row r="690">
      <c r="H690" s="39"/>
    </row>
    <row r="691">
      <c r="H691" s="39"/>
    </row>
    <row r="692">
      <c r="H692" s="39"/>
    </row>
    <row r="693">
      <c r="H693" s="39"/>
    </row>
    <row r="694">
      <c r="H694" s="39"/>
    </row>
    <row r="695">
      <c r="H695" s="39"/>
    </row>
    <row r="696">
      <c r="H696" s="39"/>
    </row>
    <row r="697">
      <c r="H697" s="39"/>
    </row>
    <row r="698">
      <c r="H698" s="39"/>
    </row>
    <row r="699">
      <c r="H699" s="39"/>
    </row>
    <row r="700">
      <c r="H700" s="39"/>
    </row>
    <row r="701">
      <c r="H701" s="39"/>
    </row>
    <row r="702">
      <c r="H702" s="39"/>
    </row>
    <row r="703">
      <c r="H703" s="39"/>
    </row>
    <row r="704">
      <c r="H704" s="39"/>
    </row>
    <row r="705">
      <c r="H705" s="39"/>
    </row>
    <row r="706">
      <c r="H706" s="39"/>
    </row>
    <row r="707">
      <c r="H707" s="39"/>
    </row>
    <row r="708">
      <c r="H708" s="39"/>
    </row>
    <row r="709">
      <c r="H709" s="39"/>
    </row>
    <row r="710">
      <c r="H710" s="39"/>
    </row>
    <row r="711">
      <c r="H711" s="39"/>
    </row>
    <row r="712">
      <c r="H712" s="39"/>
    </row>
    <row r="713">
      <c r="H713" s="39"/>
    </row>
    <row r="714">
      <c r="H714" s="39"/>
    </row>
    <row r="715">
      <c r="H715" s="39"/>
    </row>
    <row r="716">
      <c r="H716" s="39"/>
    </row>
    <row r="717">
      <c r="H717" s="39"/>
    </row>
    <row r="718">
      <c r="H718" s="39"/>
    </row>
    <row r="719">
      <c r="H719" s="39"/>
    </row>
    <row r="720">
      <c r="H720" s="39"/>
    </row>
    <row r="721">
      <c r="H721" s="39"/>
    </row>
    <row r="722">
      <c r="H722" s="39"/>
    </row>
    <row r="723">
      <c r="H723" s="39"/>
    </row>
    <row r="724">
      <c r="H724" s="39"/>
    </row>
    <row r="725">
      <c r="H725" s="39"/>
    </row>
    <row r="726">
      <c r="H726" s="39"/>
    </row>
    <row r="727">
      <c r="H727" s="39"/>
    </row>
    <row r="728">
      <c r="H728" s="39"/>
    </row>
    <row r="729">
      <c r="H729" s="39"/>
    </row>
    <row r="730">
      <c r="H730" s="39"/>
    </row>
    <row r="731">
      <c r="H731" s="39"/>
    </row>
    <row r="732">
      <c r="H732" s="39"/>
    </row>
    <row r="733">
      <c r="H733" s="39"/>
    </row>
    <row r="734">
      <c r="H734" s="39"/>
    </row>
    <row r="735">
      <c r="H735" s="39"/>
    </row>
    <row r="736">
      <c r="H736" s="39"/>
    </row>
    <row r="737">
      <c r="H737" s="39"/>
    </row>
    <row r="738">
      <c r="H738" s="39"/>
    </row>
    <row r="739">
      <c r="H739" s="39"/>
    </row>
    <row r="740">
      <c r="H740" s="39"/>
    </row>
    <row r="741">
      <c r="H741" s="39"/>
    </row>
    <row r="742">
      <c r="H742" s="39"/>
    </row>
    <row r="743">
      <c r="H743" s="39"/>
    </row>
    <row r="744">
      <c r="H744" s="39"/>
    </row>
    <row r="745">
      <c r="H745" s="39"/>
    </row>
    <row r="746">
      <c r="H746" s="39"/>
    </row>
    <row r="747">
      <c r="H747" s="39"/>
    </row>
    <row r="748">
      <c r="H748" s="39"/>
    </row>
    <row r="749">
      <c r="H749" s="39"/>
    </row>
    <row r="750">
      <c r="H750" s="39"/>
    </row>
    <row r="751">
      <c r="H751" s="39"/>
    </row>
    <row r="752">
      <c r="H752" s="39"/>
    </row>
    <row r="753">
      <c r="H753" s="39"/>
    </row>
    <row r="754">
      <c r="H754" s="39"/>
    </row>
    <row r="755">
      <c r="H755" s="39"/>
    </row>
    <row r="756">
      <c r="H756" s="39"/>
    </row>
    <row r="757">
      <c r="H757" s="39"/>
    </row>
    <row r="758">
      <c r="H758" s="39"/>
    </row>
    <row r="759">
      <c r="H759" s="39"/>
    </row>
    <row r="760">
      <c r="H760" s="39"/>
    </row>
    <row r="761">
      <c r="H761" s="39"/>
    </row>
    <row r="762">
      <c r="H762" s="39"/>
    </row>
    <row r="763">
      <c r="H763" s="39"/>
    </row>
    <row r="764">
      <c r="H764" s="39"/>
    </row>
    <row r="765">
      <c r="H765" s="39"/>
    </row>
    <row r="766">
      <c r="H766" s="39"/>
    </row>
    <row r="767">
      <c r="H767" s="39"/>
    </row>
    <row r="768">
      <c r="H768" s="39"/>
    </row>
    <row r="769">
      <c r="H769" s="39"/>
    </row>
    <row r="770">
      <c r="H770" s="39"/>
    </row>
    <row r="771">
      <c r="H771" s="39"/>
    </row>
    <row r="772">
      <c r="H772" s="39"/>
    </row>
    <row r="773">
      <c r="H773" s="39"/>
    </row>
    <row r="774">
      <c r="H774" s="39"/>
    </row>
    <row r="775">
      <c r="H775" s="39"/>
    </row>
    <row r="776">
      <c r="H776" s="39"/>
    </row>
    <row r="777">
      <c r="H777" s="39"/>
    </row>
    <row r="778">
      <c r="H778" s="39"/>
    </row>
    <row r="779">
      <c r="H779" s="39"/>
    </row>
    <row r="780">
      <c r="H780" s="39"/>
    </row>
    <row r="781">
      <c r="H781" s="39"/>
    </row>
    <row r="782">
      <c r="H782" s="39"/>
    </row>
    <row r="783">
      <c r="H783" s="39"/>
    </row>
    <row r="784">
      <c r="H784" s="39"/>
    </row>
    <row r="785">
      <c r="H785" s="39"/>
    </row>
    <row r="786">
      <c r="H786" s="39"/>
    </row>
    <row r="787">
      <c r="H787" s="39"/>
    </row>
    <row r="788">
      <c r="H788" s="39"/>
    </row>
    <row r="789">
      <c r="H789" s="39"/>
    </row>
    <row r="790">
      <c r="H790" s="39"/>
    </row>
    <row r="791">
      <c r="H791" s="39"/>
    </row>
    <row r="792">
      <c r="H792" s="39"/>
    </row>
    <row r="793">
      <c r="H793" s="39"/>
    </row>
    <row r="794">
      <c r="H794" s="39"/>
    </row>
    <row r="795">
      <c r="H795" s="39"/>
    </row>
    <row r="796">
      <c r="H796" s="39"/>
    </row>
    <row r="797">
      <c r="H797" s="39"/>
    </row>
    <row r="798">
      <c r="H798" s="39"/>
    </row>
    <row r="799">
      <c r="H799" s="39"/>
    </row>
    <row r="800">
      <c r="H800" s="39"/>
    </row>
    <row r="801">
      <c r="H801" s="39"/>
    </row>
    <row r="802">
      <c r="H802" s="39"/>
    </row>
    <row r="803">
      <c r="H803" s="39"/>
    </row>
    <row r="804">
      <c r="H804" s="39"/>
    </row>
    <row r="805">
      <c r="H805" s="39"/>
    </row>
    <row r="806">
      <c r="H806" s="39"/>
    </row>
    <row r="807">
      <c r="H807" s="39"/>
    </row>
    <row r="808">
      <c r="H808" s="39"/>
    </row>
    <row r="809">
      <c r="H809" s="39"/>
    </row>
    <row r="810">
      <c r="H810" s="39"/>
    </row>
    <row r="811">
      <c r="H811" s="39"/>
    </row>
    <row r="812">
      <c r="H812" s="39"/>
    </row>
    <row r="813">
      <c r="H813" s="39"/>
    </row>
    <row r="814">
      <c r="H814" s="39"/>
    </row>
    <row r="815">
      <c r="H815" s="39"/>
    </row>
    <row r="816">
      <c r="H816" s="39"/>
    </row>
    <row r="817">
      <c r="H817" s="39"/>
    </row>
    <row r="818">
      <c r="H818" s="39"/>
    </row>
    <row r="819">
      <c r="H819" s="39"/>
    </row>
    <row r="820">
      <c r="H820" s="39"/>
    </row>
    <row r="821">
      <c r="H821" s="39"/>
    </row>
    <row r="822">
      <c r="H822" s="39"/>
    </row>
    <row r="823">
      <c r="H823" s="39"/>
    </row>
    <row r="824">
      <c r="H824" s="39"/>
    </row>
    <row r="825">
      <c r="H825" s="39"/>
    </row>
    <row r="826">
      <c r="H826" s="39"/>
    </row>
    <row r="827">
      <c r="H827" s="39"/>
    </row>
    <row r="828">
      <c r="H828" s="39"/>
    </row>
    <row r="829">
      <c r="H829" s="39"/>
    </row>
    <row r="830">
      <c r="H830" s="39"/>
    </row>
    <row r="831">
      <c r="H831" s="39"/>
    </row>
    <row r="832">
      <c r="H832" s="39"/>
    </row>
    <row r="833">
      <c r="H833" s="39"/>
    </row>
    <row r="834">
      <c r="H834" s="39"/>
    </row>
    <row r="835">
      <c r="H835" s="39"/>
    </row>
    <row r="836">
      <c r="H836" s="39"/>
    </row>
    <row r="837">
      <c r="H837" s="39"/>
    </row>
    <row r="838">
      <c r="H838" s="39"/>
    </row>
    <row r="839">
      <c r="H839" s="39"/>
    </row>
    <row r="840">
      <c r="H840" s="39"/>
    </row>
    <row r="841">
      <c r="H841" s="39"/>
    </row>
    <row r="842">
      <c r="H842" s="39"/>
    </row>
    <row r="843">
      <c r="H843" s="39"/>
    </row>
    <row r="844">
      <c r="H844" s="39"/>
    </row>
    <row r="845">
      <c r="H845" s="39"/>
    </row>
    <row r="846">
      <c r="H846" s="39"/>
    </row>
    <row r="847">
      <c r="H847" s="39"/>
    </row>
    <row r="848">
      <c r="H848" s="39"/>
    </row>
    <row r="849">
      <c r="H849" s="39"/>
    </row>
    <row r="850">
      <c r="H850" s="39"/>
    </row>
    <row r="851">
      <c r="H851" s="39"/>
    </row>
    <row r="852">
      <c r="H852" s="39"/>
    </row>
    <row r="853">
      <c r="H853" s="39"/>
    </row>
    <row r="854">
      <c r="H854" s="39"/>
    </row>
    <row r="855">
      <c r="H855" s="39"/>
    </row>
    <row r="856">
      <c r="H856" s="39"/>
    </row>
    <row r="857">
      <c r="H857" s="39"/>
    </row>
    <row r="858">
      <c r="H858" s="39"/>
    </row>
    <row r="859">
      <c r="H859" s="39"/>
    </row>
    <row r="860">
      <c r="H860" s="39"/>
    </row>
    <row r="861">
      <c r="H861" s="39"/>
    </row>
    <row r="862">
      <c r="H862" s="39"/>
    </row>
    <row r="863">
      <c r="H863" s="39"/>
    </row>
    <row r="864">
      <c r="H864" s="39"/>
    </row>
    <row r="865">
      <c r="H865" s="39"/>
    </row>
    <row r="866">
      <c r="H866" s="39"/>
    </row>
    <row r="867">
      <c r="H867" s="39"/>
    </row>
    <row r="868">
      <c r="H868" s="39"/>
    </row>
    <row r="869">
      <c r="H869" s="39"/>
    </row>
    <row r="870">
      <c r="H870" s="39"/>
    </row>
    <row r="871">
      <c r="H871" s="39"/>
    </row>
    <row r="872">
      <c r="H872" s="39"/>
    </row>
    <row r="873">
      <c r="H873" s="39"/>
    </row>
    <row r="874">
      <c r="H874" s="39"/>
    </row>
    <row r="875">
      <c r="H875" s="39"/>
    </row>
    <row r="876">
      <c r="H876" s="39"/>
    </row>
    <row r="877">
      <c r="H877" s="39"/>
    </row>
    <row r="878">
      <c r="H878" s="39"/>
    </row>
    <row r="879">
      <c r="H879" s="39"/>
    </row>
    <row r="880">
      <c r="H880" s="39"/>
    </row>
    <row r="881">
      <c r="H881" s="39"/>
    </row>
    <row r="882">
      <c r="H882" s="39"/>
    </row>
    <row r="883">
      <c r="H883" s="39"/>
    </row>
    <row r="884">
      <c r="H884" s="39"/>
    </row>
    <row r="885">
      <c r="H885" s="39"/>
    </row>
    <row r="886">
      <c r="H886" s="39"/>
    </row>
    <row r="887">
      <c r="H887" s="39"/>
    </row>
    <row r="888">
      <c r="H888" s="39"/>
    </row>
    <row r="889">
      <c r="H889" s="39"/>
    </row>
    <row r="890">
      <c r="H890" s="39"/>
    </row>
    <row r="891">
      <c r="H891" s="39"/>
    </row>
    <row r="892">
      <c r="H892" s="39"/>
    </row>
    <row r="893">
      <c r="H893" s="39"/>
    </row>
    <row r="894">
      <c r="H894" s="39"/>
    </row>
    <row r="895">
      <c r="H895" s="39"/>
    </row>
    <row r="896">
      <c r="H896" s="39"/>
    </row>
    <row r="897">
      <c r="H897" s="39"/>
    </row>
    <row r="898">
      <c r="H898" s="39"/>
    </row>
    <row r="899">
      <c r="H899" s="39"/>
    </row>
    <row r="900">
      <c r="H900" s="39"/>
    </row>
    <row r="901">
      <c r="H901" s="39"/>
    </row>
    <row r="902">
      <c r="H902" s="39"/>
    </row>
    <row r="903">
      <c r="H903" s="39"/>
    </row>
    <row r="904">
      <c r="H904" s="39"/>
    </row>
    <row r="905">
      <c r="H905" s="39"/>
    </row>
    <row r="906">
      <c r="H906" s="39"/>
    </row>
    <row r="907">
      <c r="H907" s="39"/>
    </row>
    <row r="908">
      <c r="H908" s="39"/>
    </row>
    <row r="909">
      <c r="H909" s="39"/>
    </row>
    <row r="910">
      <c r="H910" s="39"/>
    </row>
    <row r="911">
      <c r="H911" s="39"/>
    </row>
    <row r="912">
      <c r="H912" s="39"/>
    </row>
    <row r="913">
      <c r="H913" s="39"/>
    </row>
    <row r="914">
      <c r="H914" s="39"/>
    </row>
    <row r="915">
      <c r="H915" s="39"/>
    </row>
    <row r="916">
      <c r="H916" s="39"/>
    </row>
    <row r="917">
      <c r="H917" s="39"/>
    </row>
    <row r="918">
      <c r="H918" s="39"/>
    </row>
    <row r="919">
      <c r="H919" s="39"/>
    </row>
    <row r="920">
      <c r="H920" s="39"/>
    </row>
    <row r="921">
      <c r="H921" s="39"/>
    </row>
    <row r="922">
      <c r="H922" s="39"/>
    </row>
    <row r="923">
      <c r="H923" s="39"/>
    </row>
    <row r="924">
      <c r="H924" s="39"/>
    </row>
    <row r="925">
      <c r="H925" s="39"/>
    </row>
    <row r="926">
      <c r="H926" s="39"/>
    </row>
    <row r="927">
      <c r="H927" s="39"/>
    </row>
    <row r="928">
      <c r="H928" s="39"/>
    </row>
    <row r="929">
      <c r="H929" s="39"/>
    </row>
    <row r="930">
      <c r="H930" s="39"/>
    </row>
    <row r="931">
      <c r="H931" s="39"/>
    </row>
    <row r="932">
      <c r="H932" s="39"/>
    </row>
    <row r="933">
      <c r="H933" s="39"/>
    </row>
    <row r="934">
      <c r="H934" s="39"/>
    </row>
    <row r="935">
      <c r="H935" s="39"/>
    </row>
    <row r="936">
      <c r="H936" s="39"/>
    </row>
    <row r="937">
      <c r="H937" s="39"/>
    </row>
    <row r="938">
      <c r="H938" s="39"/>
    </row>
    <row r="939">
      <c r="H939" s="39"/>
    </row>
    <row r="940">
      <c r="H940" s="39"/>
    </row>
    <row r="941">
      <c r="H941" s="39"/>
    </row>
    <row r="942">
      <c r="H942" s="39"/>
    </row>
    <row r="943">
      <c r="H943" s="39"/>
    </row>
    <row r="944">
      <c r="H944" s="39"/>
    </row>
    <row r="945">
      <c r="H945" s="39"/>
    </row>
    <row r="946">
      <c r="H946" s="39"/>
    </row>
    <row r="947">
      <c r="H947" s="39"/>
    </row>
    <row r="948">
      <c r="H948" s="39"/>
    </row>
    <row r="949">
      <c r="H949" s="39"/>
    </row>
    <row r="950">
      <c r="H950" s="39"/>
    </row>
    <row r="951">
      <c r="H951" s="39"/>
    </row>
    <row r="952">
      <c r="H952" s="39"/>
    </row>
    <row r="953">
      <c r="H953" s="39"/>
    </row>
    <row r="954">
      <c r="H954" s="39"/>
    </row>
    <row r="955">
      <c r="H955" s="39"/>
    </row>
    <row r="956">
      <c r="H956" s="39"/>
    </row>
    <row r="957">
      <c r="H957" s="39"/>
    </row>
    <row r="958">
      <c r="H958" s="39"/>
    </row>
    <row r="959">
      <c r="H959" s="39"/>
    </row>
    <row r="960">
      <c r="H960" s="39"/>
    </row>
    <row r="961">
      <c r="H961" s="39"/>
    </row>
    <row r="962">
      <c r="H962" s="39"/>
    </row>
    <row r="963">
      <c r="H963" s="39"/>
    </row>
    <row r="964">
      <c r="H964" s="39"/>
    </row>
    <row r="965">
      <c r="H965" s="39"/>
    </row>
    <row r="966">
      <c r="H966" s="39"/>
    </row>
    <row r="967">
      <c r="H967" s="39"/>
    </row>
    <row r="968">
      <c r="H968" s="39"/>
    </row>
    <row r="969">
      <c r="H969" s="39"/>
    </row>
    <row r="970">
      <c r="H970" s="39"/>
    </row>
    <row r="971">
      <c r="H971" s="39"/>
    </row>
    <row r="972">
      <c r="H972" s="39"/>
    </row>
    <row r="973">
      <c r="H973" s="39"/>
    </row>
    <row r="974">
      <c r="H974" s="39"/>
    </row>
    <row r="975">
      <c r="H975" s="39"/>
    </row>
    <row r="976">
      <c r="H976" s="39"/>
    </row>
    <row r="977">
      <c r="H977" s="39"/>
    </row>
    <row r="978">
      <c r="H978" s="39"/>
    </row>
    <row r="979">
      <c r="H979" s="39"/>
    </row>
    <row r="980">
      <c r="H980" s="39"/>
    </row>
    <row r="981">
      <c r="H981" s="39"/>
    </row>
    <row r="982">
      <c r="H982" s="39"/>
    </row>
    <row r="983">
      <c r="H983" s="39"/>
    </row>
    <row r="984">
      <c r="H984" s="39"/>
    </row>
    <row r="985">
      <c r="H985" s="39"/>
    </row>
    <row r="986">
      <c r="H986" s="39"/>
    </row>
    <row r="987">
      <c r="H987" s="39"/>
    </row>
    <row r="988">
      <c r="H988" s="39"/>
    </row>
    <row r="989">
      <c r="H989" s="39"/>
    </row>
    <row r="990">
      <c r="H990" s="39"/>
    </row>
    <row r="991">
      <c r="H991" s="39"/>
    </row>
    <row r="992">
      <c r="H992" s="39"/>
    </row>
    <row r="993">
      <c r="H993" s="39"/>
    </row>
    <row r="994">
      <c r="H994" s="39"/>
    </row>
    <row r="995">
      <c r="H995" s="39"/>
    </row>
    <row r="996">
      <c r="H996" s="39"/>
    </row>
    <row r="997">
      <c r="H997" s="39"/>
    </row>
    <row r="998">
      <c r="H998" s="39"/>
    </row>
    <row r="999">
      <c r="H999" s="39"/>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6</v>
      </c>
      <c r="C1" s="1" t="s">
        <v>7</v>
      </c>
    </row>
    <row r="2">
      <c r="A2" s="1">
        <v>2018.0</v>
      </c>
      <c r="B2" s="9">
        <v>0.0279</v>
      </c>
      <c r="C2" s="9">
        <v>0.2792</v>
      </c>
    </row>
    <row r="3">
      <c r="A3" s="1">
        <v>2019.0</v>
      </c>
      <c r="B3" s="9">
        <v>0.0305</v>
      </c>
      <c r="C3" s="9">
        <v>0.2275</v>
      </c>
    </row>
    <row r="4">
      <c r="A4" s="1">
        <v>2020.0</v>
      </c>
      <c r="B4" s="9">
        <v>0.0242</v>
      </c>
      <c r="C4" s="9">
        <v>0.1734</v>
      </c>
    </row>
    <row r="5">
      <c r="A5" s="1">
        <v>2021.0</v>
      </c>
      <c r="B5" s="9">
        <v>0.027</v>
      </c>
      <c r="C5" s="9">
        <v>0.1947</v>
      </c>
    </row>
    <row r="6">
      <c r="A6" s="1">
        <v>2022.0</v>
      </c>
      <c r="B6" s="9">
        <v>0.0254</v>
      </c>
      <c r="C6" s="9">
        <v>0.2387</v>
      </c>
    </row>
    <row r="7">
      <c r="A7" s="1">
        <v>2023.0</v>
      </c>
      <c r="B7" s="9">
        <v>0.0355</v>
      </c>
      <c r="C7" s="9">
        <v>0.3279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88"/>
  </cols>
  <sheetData>
    <row r="1">
      <c r="A1" s="40" t="s">
        <v>26</v>
      </c>
      <c r="B1" s="40"/>
      <c r="C1" s="40"/>
      <c r="D1" s="40"/>
      <c r="E1" s="40"/>
      <c r="F1" s="40"/>
      <c r="G1" s="40"/>
      <c r="H1" s="40"/>
      <c r="I1" s="40"/>
      <c r="J1" s="40"/>
      <c r="K1" s="40"/>
      <c r="L1" s="40"/>
      <c r="M1" s="40"/>
      <c r="N1" s="40"/>
      <c r="O1" s="40"/>
      <c r="P1" s="40"/>
      <c r="Q1" s="40"/>
      <c r="R1" s="40"/>
      <c r="S1" s="40"/>
      <c r="T1" s="40"/>
      <c r="U1" s="40"/>
      <c r="V1" s="40"/>
      <c r="W1" s="40"/>
      <c r="X1" s="40"/>
      <c r="Y1" s="40"/>
      <c r="Z1" s="4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4.13"/>
    <col customWidth="1" min="6" max="6" width="13.63"/>
    <col customWidth="1" min="7" max="7" width="14.13"/>
  </cols>
  <sheetData>
    <row r="1">
      <c r="A1" s="41" t="s">
        <v>0</v>
      </c>
      <c r="B1" s="42" t="s">
        <v>27</v>
      </c>
      <c r="C1" s="42" t="s">
        <v>1</v>
      </c>
      <c r="D1" s="42" t="s">
        <v>2</v>
      </c>
      <c r="E1" s="42" t="s">
        <v>3</v>
      </c>
      <c r="F1" s="42" t="s">
        <v>4</v>
      </c>
      <c r="G1" s="42" t="s">
        <v>14</v>
      </c>
      <c r="H1" s="42" t="s">
        <v>6</v>
      </c>
      <c r="I1" s="43" t="s">
        <v>7</v>
      </c>
      <c r="J1" s="44"/>
      <c r="K1" s="44"/>
      <c r="L1" s="44"/>
      <c r="M1" s="44"/>
      <c r="N1" s="44"/>
      <c r="O1" s="44"/>
      <c r="P1" s="44"/>
      <c r="Q1" s="44"/>
      <c r="R1" s="44"/>
      <c r="S1" s="44"/>
      <c r="T1" s="44"/>
      <c r="U1" s="44"/>
      <c r="V1" s="44"/>
      <c r="W1" s="44"/>
      <c r="X1" s="44"/>
      <c r="Y1" s="44"/>
      <c r="Z1" s="44"/>
    </row>
    <row r="2">
      <c r="A2" s="45" t="s">
        <v>28</v>
      </c>
      <c r="B2" s="46" t="s">
        <v>29</v>
      </c>
      <c r="C2" s="46">
        <v>2018.0</v>
      </c>
      <c r="D2" s="46">
        <v>320919.0</v>
      </c>
      <c r="E2" s="46">
        <v>94981.0</v>
      </c>
      <c r="F2" s="46">
        <v>4954157.0</v>
      </c>
      <c r="G2" s="46">
        <v>482641.0</v>
      </c>
      <c r="H2" s="47">
        <f t="shared" ref="H2:H25" si="1">E2/F2</f>
        <v>0.01917198022</v>
      </c>
      <c r="I2" s="48">
        <f t="shared" ref="I2:I7" si="2">E2/G2</f>
        <v>0.1967943047</v>
      </c>
    </row>
    <row r="3">
      <c r="A3" s="49" t="s">
        <v>28</v>
      </c>
      <c r="B3" s="1" t="s">
        <v>29</v>
      </c>
      <c r="C3" s="1">
        <v>2019.0</v>
      </c>
      <c r="D3" s="1">
        <v>453025.0</v>
      </c>
      <c r="E3" s="1">
        <v>97510.0</v>
      </c>
      <c r="F3" s="1">
        <v>7146610.0</v>
      </c>
      <c r="G3" s="1">
        <v>601664.0</v>
      </c>
      <c r="H3" s="3">
        <f t="shared" si="1"/>
        <v>0.01364423132</v>
      </c>
      <c r="I3" s="50">
        <f t="shared" si="2"/>
        <v>0.1620672003</v>
      </c>
    </row>
    <row r="4">
      <c r="A4" s="49" t="s">
        <v>28</v>
      </c>
      <c r="B4" s="1" t="s">
        <v>29</v>
      </c>
      <c r="C4" s="1">
        <v>2020.0</v>
      </c>
      <c r="D4" s="1">
        <v>460794.0</v>
      </c>
      <c r="E4" s="1">
        <v>106010.0</v>
      </c>
      <c r="F4" s="1">
        <v>8679748.0</v>
      </c>
      <c r="G4" s="1">
        <v>743703.0</v>
      </c>
      <c r="H4" s="3">
        <f t="shared" si="1"/>
        <v>0.01221348823</v>
      </c>
      <c r="I4" s="50">
        <f t="shared" si="2"/>
        <v>0.1425434616</v>
      </c>
    </row>
    <row r="5">
      <c r="A5" s="49" t="s">
        <v>28</v>
      </c>
      <c r="B5" s="1" t="s">
        <v>29</v>
      </c>
      <c r="C5" s="1">
        <v>2021.0</v>
      </c>
      <c r="D5" s="1">
        <v>546136.0</v>
      </c>
      <c r="E5" s="28">
        <v>160216.0</v>
      </c>
      <c r="F5" s="1">
        <v>1.1731965E7</v>
      </c>
      <c r="G5" s="1">
        <v>1026552.0</v>
      </c>
      <c r="H5" s="3">
        <f t="shared" si="1"/>
        <v>0.01365636532</v>
      </c>
      <c r="I5" s="50">
        <f t="shared" si="2"/>
        <v>0.1560719769</v>
      </c>
    </row>
    <row r="6">
      <c r="A6" s="49" t="s">
        <v>28</v>
      </c>
      <c r="B6" s="1" t="s">
        <v>29</v>
      </c>
      <c r="C6" s="1">
        <v>2022.0</v>
      </c>
      <c r="D6" s="1">
        <v>664892.0</v>
      </c>
      <c r="E6" s="29">
        <v>155173.0</v>
      </c>
      <c r="F6" s="1">
        <v>1.4972309E7</v>
      </c>
      <c r="G6" s="1">
        <v>1212497.0</v>
      </c>
      <c r="H6" s="3">
        <f t="shared" si="1"/>
        <v>0.0103639993</v>
      </c>
      <c r="I6" s="50">
        <f t="shared" si="2"/>
        <v>0.1279780486</v>
      </c>
    </row>
    <row r="7">
      <c r="A7" s="51" t="s">
        <v>28</v>
      </c>
      <c r="B7" s="52" t="s">
        <v>29</v>
      </c>
      <c r="C7" s="52">
        <v>2023.0</v>
      </c>
      <c r="D7" s="52">
        <v>1219828.0</v>
      </c>
      <c r="E7" s="52">
        <v>645462.0</v>
      </c>
      <c r="F7" s="52">
        <v>2.6457042E7</v>
      </c>
      <c r="G7" s="52">
        <v>2294521.0</v>
      </c>
      <c r="H7" s="53">
        <f t="shared" si="1"/>
        <v>0.02439660488</v>
      </c>
      <c r="I7" s="54">
        <f t="shared" si="2"/>
        <v>0.2813057714</v>
      </c>
    </row>
    <row r="8">
      <c r="A8" s="45" t="s">
        <v>30</v>
      </c>
      <c r="B8" s="46" t="s">
        <v>31</v>
      </c>
      <c r="C8" s="46">
        <v>2018.0</v>
      </c>
      <c r="D8" s="46">
        <v>2.0580136E7</v>
      </c>
      <c r="E8" s="46">
        <v>9555755.0</v>
      </c>
      <c r="F8" s="46">
        <v>3.4246121E8</v>
      </c>
      <c r="G8" s="46">
        <v>3.4228396E7</v>
      </c>
      <c r="H8" s="47">
        <f t="shared" si="1"/>
        <v>0.02790317479</v>
      </c>
      <c r="I8" s="55">
        <v>0.2792</v>
      </c>
    </row>
    <row r="9">
      <c r="A9" s="56" t="s">
        <v>30</v>
      </c>
      <c r="B9" s="1" t="s">
        <v>31</v>
      </c>
      <c r="C9" s="1">
        <v>2019.0</v>
      </c>
      <c r="D9" s="1">
        <v>2.4600896E7</v>
      </c>
      <c r="E9" s="1">
        <v>1.1800995E7</v>
      </c>
      <c r="F9" s="1">
        <v>3.86742368E8</v>
      </c>
      <c r="G9" s="1">
        <v>5.1880445E7</v>
      </c>
      <c r="H9" s="3">
        <f t="shared" si="1"/>
        <v>0.03051384068</v>
      </c>
      <c r="I9" s="50">
        <f t="shared" ref="I9:I25" si="3">E9/G9</f>
        <v>0.2274651846</v>
      </c>
    </row>
    <row r="10">
      <c r="A10" s="56" t="s">
        <v>30</v>
      </c>
      <c r="B10" s="1" t="s">
        <v>31</v>
      </c>
      <c r="C10" s="1">
        <v>2020.0</v>
      </c>
      <c r="D10" s="1">
        <v>2.5881E7</v>
      </c>
      <c r="E10" s="1">
        <v>1.0298982E7</v>
      </c>
      <c r="F10" s="1">
        <v>4.2614483E8</v>
      </c>
      <c r="G10" s="1">
        <v>5.9404626E7</v>
      </c>
      <c r="H10" s="3">
        <f t="shared" si="1"/>
        <v>0.0241677976</v>
      </c>
      <c r="I10" s="50">
        <f t="shared" si="3"/>
        <v>0.1733700335</v>
      </c>
    </row>
    <row r="11">
      <c r="A11" s="56" t="s">
        <v>30</v>
      </c>
      <c r="B11" s="1" t="s">
        <v>31</v>
      </c>
      <c r="C11" s="1">
        <v>2021.0</v>
      </c>
      <c r="D11" s="1">
        <v>2.6754556E7</v>
      </c>
      <c r="E11" s="1">
        <v>1.3420385E7</v>
      </c>
      <c r="F11" s="1">
        <v>4.96651124E8</v>
      </c>
      <c r="G11" s="1">
        <v>6.8928168E7</v>
      </c>
      <c r="H11" s="3">
        <f t="shared" si="1"/>
        <v>0.02702175501</v>
      </c>
      <c r="I11" s="50">
        <f t="shared" si="3"/>
        <v>0.1947010256</v>
      </c>
    </row>
    <row r="12">
      <c r="A12" s="56" t="s">
        <v>30</v>
      </c>
      <c r="B12" s="1" t="s">
        <v>31</v>
      </c>
      <c r="C12" s="1">
        <v>2022.0</v>
      </c>
      <c r="D12" s="1">
        <v>3.296716E7</v>
      </c>
      <c r="E12" s="1">
        <v>1.617215E7</v>
      </c>
      <c r="F12" s="1">
        <v>6.35831917E8</v>
      </c>
      <c r="G12" s="1">
        <v>6.7757737E7</v>
      </c>
      <c r="H12" s="3">
        <f t="shared" si="1"/>
        <v>0.02543463071</v>
      </c>
      <c r="I12" s="50">
        <f t="shared" si="3"/>
        <v>0.2386760644</v>
      </c>
    </row>
    <row r="13">
      <c r="A13" s="57" t="s">
        <v>30</v>
      </c>
      <c r="B13" s="52" t="s">
        <v>31</v>
      </c>
      <c r="C13" s="52">
        <v>2023.0</v>
      </c>
      <c r="D13" s="52">
        <v>5.6175906E7</v>
      </c>
      <c r="E13" s="52">
        <v>2.9668865E7</v>
      </c>
      <c r="F13" s="52">
        <v>8.34866099E8</v>
      </c>
      <c r="G13" s="58">
        <v>9.0481393E7</v>
      </c>
      <c r="H13" s="53">
        <f t="shared" si="1"/>
        <v>0.03553727362</v>
      </c>
      <c r="I13" s="54">
        <f t="shared" si="3"/>
        <v>0.3279001794</v>
      </c>
    </row>
    <row r="14">
      <c r="A14" s="45" t="s">
        <v>32</v>
      </c>
      <c r="B14" s="46" t="s">
        <v>33</v>
      </c>
      <c r="C14" s="46">
        <v>2018.0</v>
      </c>
      <c r="D14" s="59">
        <v>60577.0</v>
      </c>
      <c r="E14" s="59">
        <v>19691.0</v>
      </c>
      <c r="F14" s="59">
        <v>573384.0</v>
      </c>
      <c r="G14" s="59">
        <v>94074.0</v>
      </c>
      <c r="H14" s="47">
        <f t="shared" si="1"/>
        <v>0.03434173259</v>
      </c>
      <c r="I14" s="48">
        <f t="shared" si="3"/>
        <v>0.2093139443</v>
      </c>
    </row>
    <row r="15">
      <c r="A15" s="49" t="s">
        <v>32</v>
      </c>
      <c r="B15" s="1" t="s">
        <v>33</v>
      </c>
      <c r="C15" s="1">
        <v>2019.0</v>
      </c>
      <c r="D15" s="15">
        <v>66773.0</v>
      </c>
      <c r="E15" s="2">
        <v>22386.0</v>
      </c>
      <c r="F15" s="15">
        <v>673682.0</v>
      </c>
      <c r="G15" s="15">
        <v>110719.0</v>
      </c>
      <c r="H15" s="3">
        <f t="shared" si="1"/>
        <v>0.03322932778</v>
      </c>
      <c r="I15" s="50">
        <f t="shared" si="3"/>
        <v>0.2021875198</v>
      </c>
    </row>
    <row r="16">
      <c r="A16" s="49" t="s">
        <v>32</v>
      </c>
      <c r="B16" s="1" t="s">
        <v>33</v>
      </c>
      <c r="C16" s="1">
        <v>2020.0</v>
      </c>
      <c r="D16" s="16">
        <v>62253.0</v>
      </c>
      <c r="E16" s="16">
        <v>19790.0</v>
      </c>
      <c r="F16" s="16">
        <v>1015093.0</v>
      </c>
      <c r="G16" s="16">
        <v>132176.0</v>
      </c>
      <c r="H16" s="3">
        <f t="shared" si="1"/>
        <v>0.01949575064</v>
      </c>
      <c r="I16" s="50">
        <f t="shared" si="3"/>
        <v>0.1497246096</v>
      </c>
    </row>
    <row r="17">
      <c r="A17" s="49" t="s">
        <v>32</v>
      </c>
      <c r="B17" s="1" t="s">
        <v>33</v>
      </c>
      <c r="C17" s="1">
        <v>2021.0</v>
      </c>
      <c r="D17" s="2">
        <v>99998.0</v>
      </c>
      <c r="E17" s="2">
        <v>39175.0</v>
      </c>
      <c r="F17" s="2">
        <v>1304914.0</v>
      </c>
      <c r="G17" s="2">
        <v>169168.0</v>
      </c>
      <c r="H17" s="3">
        <f t="shared" si="1"/>
        <v>0.03002113549</v>
      </c>
      <c r="I17" s="50">
        <f t="shared" si="3"/>
        <v>0.2315745295</v>
      </c>
    </row>
    <row r="18">
      <c r="A18" s="49" t="s">
        <v>32</v>
      </c>
      <c r="B18" s="1" t="s">
        <v>33</v>
      </c>
      <c r="C18" s="1">
        <v>2022.0</v>
      </c>
      <c r="D18" s="17">
        <v>121296.0</v>
      </c>
      <c r="E18" s="17">
        <v>44894.0</v>
      </c>
      <c r="F18" s="17">
        <v>1447010.0</v>
      </c>
      <c r="G18" s="17">
        <v>176195.0</v>
      </c>
      <c r="H18" s="3">
        <f t="shared" si="1"/>
        <v>0.03102535573</v>
      </c>
      <c r="I18" s="50">
        <f t="shared" si="3"/>
        <v>0.2547972417</v>
      </c>
    </row>
    <row r="19">
      <c r="A19" s="49" t="s">
        <v>32</v>
      </c>
      <c r="B19" s="1" t="s">
        <v>33</v>
      </c>
      <c r="C19" s="1">
        <v>2023.0</v>
      </c>
      <c r="D19" s="2">
        <v>134457.0</v>
      </c>
      <c r="E19" s="2">
        <v>41977.0</v>
      </c>
      <c r="F19" s="2">
        <v>1821435.0</v>
      </c>
      <c r="G19" s="2">
        <v>207793.0</v>
      </c>
      <c r="H19" s="3">
        <f t="shared" si="1"/>
        <v>0.02304611474</v>
      </c>
      <c r="I19" s="50">
        <f t="shared" si="3"/>
        <v>0.2020135423</v>
      </c>
    </row>
    <row r="20">
      <c r="A20" s="60" t="s">
        <v>8</v>
      </c>
      <c r="B20" s="61" t="s">
        <v>34</v>
      </c>
      <c r="C20" s="61">
        <v>2018.0</v>
      </c>
      <c r="D20" s="62">
        <v>127053.0</v>
      </c>
      <c r="E20" s="62">
        <v>27453.0</v>
      </c>
      <c r="F20" s="62">
        <v>2126962.0</v>
      </c>
      <c r="G20" s="62">
        <v>165061.0</v>
      </c>
      <c r="H20" s="63">
        <f t="shared" si="1"/>
        <v>0.01290714174</v>
      </c>
      <c r="I20" s="64">
        <f t="shared" si="3"/>
        <v>0.1663203301</v>
      </c>
    </row>
    <row r="21">
      <c r="A21" s="65" t="s">
        <v>8</v>
      </c>
      <c r="B21" s="1" t="s">
        <v>34</v>
      </c>
      <c r="C21" s="1">
        <v>2019.0</v>
      </c>
      <c r="D21" s="1">
        <v>134034.0</v>
      </c>
      <c r="E21" s="1">
        <v>25443.0</v>
      </c>
      <c r="F21" s="1">
        <v>2275589.0</v>
      </c>
      <c r="G21" s="1">
        <v>171229.0</v>
      </c>
      <c r="H21" s="3">
        <f t="shared" si="1"/>
        <v>0.01118084153</v>
      </c>
      <c r="I21" s="66">
        <f t="shared" si="3"/>
        <v>0.1485904841</v>
      </c>
    </row>
    <row r="22">
      <c r="A22" s="65" t="s">
        <v>8</v>
      </c>
      <c r="B22" s="1" t="s">
        <v>34</v>
      </c>
      <c r="C22" s="1">
        <v>2020.0</v>
      </c>
      <c r="D22" s="4">
        <v>123667.0</v>
      </c>
      <c r="E22" s="4">
        <v>12358.0</v>
      </c>
      <c r="F22" s="4">
        <v>2532940.0</v>
      </c>
      <c r="G22" s="4">
        <v>176371.0</v>
      </c>
      <c r="H22" s="3">
        <f t="shared" si="1"/>
        <v>0.004878915411</v>
      </c>
      <c r="I22" s="66">
        <f t="shared" si="3"/>
        <v>0.07006820849</v>
      </c>
    </row>
    <row r="23">
      <c r="A23" s="65" t="s">
        <v>8</v>
      </c>
      <c r="B23" s="1" t="s">
        <v>34</v>
      </c>
      <c r="C23" s="1">
        <v>2021.0</v>
      </c>
      <c r="D23" s="5">
        <v>132982.0</v>
      </c>
      <c r="E23" s="1">
        <v>24865.0</v>
      </c>
      <c r="F23" s="5">
        <v>2725817.0</v>
      </c>
      <c r="G23" s="5">
        <v>198832.0</v>
      </c>
      <c r="H23" s="3">
        <f t="shared" si="1"/>
        <v>0.009122035705</v>
      </c>
      <c r="I23" s="66">
        <f t="shared" si="3"/>
        <v>0.1250553231</v>
      </c>
    </row>
    <row r="24">
      <c r="A24" s="65" t="s">
        <v>8</v>
      </c>
      <c r="B24" s="1" t="s">
        <v>34</v>
      </c>
      <c r="C24" s="1">
        <v>2022.0</v>
      </c>
      <c r="D24" s="6">
        <v>156920.0</v>
      </c>
      <c r="E24" s="1">
        <v>31211.0</v>
      </c>
      <c r="F24" s="1">
        <v>2883841.0</v>
      </c>
      <c r="G24" s="1">
        <v>219264.0</v>
      </c>
      <c r="H24" s="3">
        <f t="shared" si="1"/>
        <v>0.01082271873</v>
      </c>
      <c r="I24" s="66">
        <f t="shared" si="3"/>
        <v>0.1423443885</v>
      </c>
    </row>
    <row r="25">
      <c r="A25" s="67" t="s">
        <v>8</v>
      </c>
      <c r="B25" s="68" t="s">
        <v>34</v>
      </c>
      <c r="C25" s="68">
        <v>2023.0</v>
      </c>
      <c r="D25" s="69">
        <v>177616.0</v>
      </c>
      <c r="E25" s="69">
        <v>44211.0</v>
      </c>
      <c r="F25" s="68">
        <v>3065745.0</v>
      </c>
      <c r="G25" s="1">
        <v>236445.0</v>
      </c>
      <c r="H25" s="70">
        <f t="shared" si="1"/>
        <v>0.01442096456</v>
      </c>
      <c r="I25" s="71">
        <f t="shared" si="3"/>
        <v>0.1869821734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s>
  <sheetData>
    <row r="1"/>
    <row r="2"/>
    <row r="3"/>
    <row r="4"/>
    <row r="5"/>
    <row r="6"/>
    <row r="7"/>
  </sheetData>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5"/>
    <col customWidth="1" min="2" max="2" width="18.13"/>
    <col customWidth="1" min="3" max="3" width="21.63"/>
  </cols>
  <sheetData>
    <row r="1"/>
    <row r="2"/>
    <row r="3"/>
    <row r="4"/>
    <row r="5"/>
    <row r="6"/>
    <row r="10"/>
    <row r="11"/>
    <row r="12"/>
    <row r="13"/>
    <row r="14"/>
    <row r="15"/>
    <row r="16"/>
  </sheetData>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38"/>
    <col customWidth="1" min="2" max="2" width="26.13"/>
    <col customWidth="1" min="3" max="3" width="23.38"/>
    <col customWidth="1" min="4" max="4" width="21.13"/>
    <col customWidth="1" min="5" max="5" width="14.5"/>
  </cols>
  <sheetData>
    <row r="1">
      <c r="A1" s="75" t="s">
        <v>39</v>
      </c>
    </row>
    <row r="2">
      <c r="A2" s="76" t="s">
        <v>1</v>
      </c>
      <c r="B2" s="76" t="s">
        <v>40</v>
      </c>
      <c r="C2" s="76" t="s">
        <v>41</v>
      </c>
      <c r="D2" s="76" t="s">
        <v>42</v>
      </c>
      <c r="E2" s="76" t="s">
        <v>43</v>
      </c>
      <c r="F2" s="77"/>
      <c r="G2" s="77"/>
      <c r="H2" s="77"/>
      <c r="I2" s="77"/>
      <c r="J2" s="77"/>
      <c r="K2" s="77"/>
      <c r="L2" s="77"/>
      <c r="M2" s="77"/>
      <c r="N2" s="77"/>
      <c r="O2" s="77"/>
      <c r="P2" s="77"/>
      <c r="Q2" s="77"/>
      <c r="R2" s="77"/>
      <c r="S2" s="77"/>
      <c r="T2" s="77"/>
      <c r="U2" s="77"/>
      <c r="V2" s="77"/>
      <c r="W2" s="77"/>
      <c r="X2" s="77"/>
      <c r="Y2" s="77"/>
      <c r="Z2" s="77"/>
    </row>
    <row r="3">
      <c r="A3" s="1">
        <v>2018.0</v>
      </c>
      <c r="B3" s="9">
        <v>0.1663</v>
      </c>
      <c r="C3" s="3">
        <v>0.20931394434168846</v>
      </c>
      <c r="D3" s="3">
        <v>0.19679430466951628</v>
      </c>
      <c r="E3" s="9">
        <v>0.2792</v>
      </c>
    </row>
    <row r="4">
      <c r="A4" s="1">
        <v>2019.0</v>
      </c>
      <c r="B4" s="9">
        <v>0.1486</v>
      </c>
      <c r="C4" s="3">
        <v>0.20218751975722324</v>
      </c>
      <c r="D4" s="3">
        <v>0.16206720029784066</v>
      </c>
      <c r="E4" s="3">
        <v>0.22746518461821214</v>
      </c>
    </row>
    <row r="5">
      <c r="A5" s="1">
        <v>2020.0</v>
      </c>
      <c r="B5" s="9">
        <v>0.0701</v>
      </c>
      <c r="C5" s="78">
        <v>0.1497246096114272</v>
      </c>
      <c r="D5" s="3">
        <v>0.14254346157000847</v>
      </c>
      <c r="E5" s="3">
        <v>0.17337003350547145</v>
      </c>
    </row>
    <row r="6">
      <c r="A6" s="1">
        <v>2021.0</v>
      </c>
      <c r="B6" s="9">
        <v>0.1251</v>
      </c>
      <c r="C6" s="3">
        <v>0.23157452946183676</v>
      </c>
      <c r="D6" s="79">
        <v>0.15607197687014393</v>
      </c>
      <c r="E6" s="3">
        <v>0.19470102556620975</v>
      </c>
    </row>
    <row r="7">
      <c r="A7" s="1">
        <v>2022.0</v>
      </c>
      <c r="B7" s="9">
        <v>0.1423</v>
      </c>
      <c r="C7" s="80">
        <v>0.25479724169244305</v>
      </c>
      <c r="D7" s="81">
        <v>0.1279780486054811</v>
      </c>
      <c r="E7" s="3">
        <v>0.23867606440280023</v>
      </c>
    </row>
    <row r="8">
      <c r="A8" s="1">
        <v>2023.0</v>
      </c>
      <c r="B8" s="9">
        <v>0.187</v>
      </c>
      <c r="C8" s="3">
        <v>0.2020135423233699</v>
      </c>
      <c r="D8" s="3">
        <v>0.2813057714442361</v>
      </c>
      <c r="E8" s="3">
        <v>0.32790017943247185</v>
      </c>
    </row>
    <row r="9">
      <c r="A9" s="1" t="s">
        <v>44</v>
      </c>
    </row>
    <row r="26">
      <c r="A26" s="11"/>
    </row>
    <row r="27">
      <c r="A27" s="11"/>
    </row>
    <row r="28">
      <c r="A28" s="11"/>
    </row>
    <row r="29">
      <c r="A29" s="82" t="s">
        <v>45</v>
      </c>
      <c r="B29" s="83"/>
      <c r="C29" s="83"/>
      <c r="D29" s="83"/>
      <c r="E29" s="83"/>
      <c r="F29" s="83"/>
      <c r="G29" s="83"/>
      <c r="H29" s="83"/>
      <c r="I29" s="83"/>
      <c r="J29" s="83"/>
      <c r="K29" s="83"/>
      <c r="L29" s="83"/>
      <c r="M29" s="83"/>
      <c r="N29" s="83"/>
      <c r="O29" s="83"/>
      <c r="P29" s="83"/>
      <c r="Q29" s="83"/>
      <c r="R29" s="83"/>
      <c r="S29" s="83"/>
      <c r="T29" s="83"/>
      <c r="U29" s="83"/>
      <c r="V29" s="83"/>
      <c r="W29" s="83"/>
      <c r="X29" s="83"/>
      <c r="Y29" s="83"/>
      <c r="Z29" s="83"/>
    </row>
    <row r="30">
      <c r="A30" s="84" t="s">
        <v>46</v>
      </c>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c r="A31" s="11"/>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c r="A32" s="11"/>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c r="A33" s="11"/>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c r="A34" s="85" t="s">
        <v>47</v>
      </c>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c r="A35" s="11"/>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c r="A36" s="1" t="s">
        <v>48</v>
      </c>
    </row>
    <row r="37">
      <c r="A37" s="1" t="s">
        <v>49</v>
      </c>
    </row>
    <row r="38">
      <c r="A38" s="1" t="s">
        <v>50</v>
      </c>
    </row>
    <row r="39">
      <c r="A39" s="1" t="s">
        <v>51</v>
      </c>
    </row>
  </sheetData>
  <mergeCells count="1">
    <mergeCell ref="A1:Z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75"/>
    <col customWidth="1" min="2" max="2" width="28.5"/>
    <col customWidth="1" min="3" max="3" width="26.0"/>
    <col customWidth="1" min="4" max="4" width="28.0"/>
    <col customWidth="1" min="5" max="5" width="23.13"/>
  </cols>
  <sheetData>
    <row r="1">
      <c r="A1" s="86" t="s">
        <v>52</v>
      </c>
    </row>
    <row r="2">
      <c r="A2" s="87" t="s">
        <v>1</v>
      </c>
      <c r="B2" s="88" t="s">
        <v>53</v>
      </c>
      <c r="C2" s="88" t="s">
        <v>54</v>
      </c>
      <c r="D2" s="88" t="s">
        <v>55</v>
      </c>
      <c r="E2" s="88" t="s">
        <v>56</v>
      </c>
      <c r="F2" s="88"/>
      <c r="G2" s="88"/>
      <c r="H2" s="88"/>
      <c r="I2" s="88"/>
      <c r="J2" s="88"/>
      <c r="K2" s="88"/>
      <c r="L2" s="88"/>
      <c r="M2" s="88"/>
      <c r="N2" s="88"/>
      <c r="O2" s="88"/>
      <c r="P2" s="88"/>
      <c r="Q2" s="88"/>
      <c r="R2" s="88"/>
      <c r="S2" s="88"/>
      <c r="T2" s="88"/>
      <c r="U2" s="88"/>
      <c r="V2" s="88"/>
      <c r="W2" s="88"/>
      <c r="X2" s="88"/>
      <c r="Y2" s="88"/>
      <c r="Z2" s="88"/>
    </row>
    <row r="3">
      <c r="A3" s="89">
        <v>2018.0</v>
      </c>
      <c r="B3" s="90">
        <v>0.012907141735489397</v>
      </c>
      <c r="C3" s="91">
        <v>0.03434173259107335</v>
      </c>
      <c r="D3" s="91">
        <v>0.019171980217825152</v>
      </c>
      <c r="E3" s="91">
        <v>0.027903174785839247</v>
      </c>
      <c r="F3" s="34"/>
      <c r="G3" s="34"/>
      <c r="H3" s="34"/>
      <c r="I3" s="34"/>
      <c r="J3" s="34"/>
      <c r="K3" s="34"/>
      <c r="L3" s="34"/>
      <c r="M3" s="34"/>
      <c r="N3" s="34"/>
      <c r="O3" s="34"/>
      <c r="P3" s="34"/>
      <c r="Q3" s="34"/>
      <c r="R3" s="34"/>
      <c r="S3" s="34"/>
      <c r="T3" s="34"/>
      <c r="U3" s="34"/>
      <c r="V3" s="34"/>
      <c r="W3" s="34"/>
      <c r="X3" s="34"/>
      <c r="Y3" s="34"/>
      <c r="Z3" s="34"/>
    </row>
    <row r="4">
      <c r="A4" s="89">
        <v>2019.0</v>
      </c>
      <c r="B4" s="90">
        <v>0.011180841531577099</v>
      </c>
      <c r="C4" s="91">
        <v>0.03322932778373179</v>
      </c>
      <c r="D4" s="91">
        <v>0.013644231320864017</v>
      </c>
      <c r="E4" s="91">
        <v>0.0305138406764888</v>
      </c>
      <c r="F4" s="34"/>
      <c r="G4" s="34"/>
      <c r="H4" s="34"/>
      <c r="I4" s="34"/>
      <c r="J4" s="34"/>
      <c r="K4" s="34"/>
      <c r="L4" s="34"/>
      <c r="M4" s="34"/>
      <c r="N4" s="34"/>
      <c r="O4" s="34"/>
      <c r="P4" s="34"/>
      <c r="Q4" s="34"/>
      <c r="R4" s="34"/>
      <c r="S4" s="34"/>
      <c r="T4" s="34"/>
      <c r="U4" s="34"/>
      <c r="V4" s="34"/>
      <c r="W4" s="34"/>
      <c r="X4" s="34"/>
      <c r="Y4" s="34"/>
      <c r="Z4" s="34"/>
    </row>
    <row r="5">
      <c r="A5" s="89">
        <v>2020.0</v>
      </c>
      <c r="B5" s="90">
        <v>0.004878915410550586</v>
      </c>
      <c r="C5" s="91">
        <v>0.019495750635656044</v>
      </c>
      <c r="D5" s="91">
        <v>0.012213488225695032</v>
      </c>
      <c r="E5" s="91">
        <v>0.024167797600642017</v>
      </c>
      <c r="F5" s="34"/>
      <c r="G5" s="34"/>
      <c r="H5" s="34"/>
      <c r="I5" s="34"/>
      <c r="J5" s="34"/>
      <c r="K5" s="34"/>
      <c r="L5" s="34"/>
      <c r="M5" s="34"/>
      <c r="N5" s="34"/>
      <c r="O5" s="34"/>
      <c r="P5" s="34"/>
      <c r="Q5" s="34"/>
      <c r="R5" s="34"/>
      <c r="S5" s="34"/>
      <c r="T5" s="34"/>
      <c r="U5" s="34"/>
      <c r="V5" s="34"/>
      <c r="W5" s="34"/>
      <c r="X5" s="34"/>
      <c r="Y5" s="34"/>
      <c r="Z5" s="34"/>
    </row>
    <row r="6">
      <c r="A6" s="89">
        <v>2021.0</v>
      </c>
      <c r="B6" s="90">
        <v>0.009122035705258276</v>
      </c>
      <c r="C6" s="92">
        <v>0.03002113549245391</v>
      </c>
      <c r="D6" s="92">
        <v>0.01365636532328557</v>
      </c>
      <c r="E6" s="92">
        <v>0.02702175501368643</v>
      </c>
      <c r="F6" s="11"/>
      <c r="G6" s="11"/>
      <c r="H6" s="11"/>
      <c r="I6" s="11"/>
      <c r="J6" s="11"/>
      <c r="K6" s="11"/>
      <c r="L6" s="11"/>
      <c r="M6" s="11"/>
      <c r="N6" s="11"/>
      <c r="O6" s="11"/>
      <c r="P6" s="11"/>
      <c r="Q6" s="11"/>
      <c r="R6" s="11"/>
      <c r="S6" s="11"/>
      <c r="T6" s="11"/>
      <c r="U6" s="11"/>
      <c r="V6" s="11"/>
      <c r="W6" s="11"/>
      <c r="X6" s="11"/>
      <c r="Y6" s="11"/>
      <c r="Z6" s="11"/>
    </row>
    <row r="7">
      <c r="A7" s="93">
        <v>2022.0</v>
      </c>
      <c r="B7" s="90">
        <v>0.010822718728251662</v>
      </c>
      <c r="C7" s="90">
        <v>0.031025355733547106</v>
      </c>
      <c r="D7" s="90">
        <v>0.010363999300308322</v>
      </c>
      <c r="E7" s="90">
        <v>0.025434630706026667</v>
      </c>
    </row>
    <row r="8">
      <c r="A8" s="93">
        <v>2023.0</v>
      </c>
      <c r="B8" s="90">
        <v>0.014420964561631838</v>
      </c>
      <c r="C8" s="90">
        <v>0.023046114739202882</v>
      </c>
      <c r="D8" s="90">
        <v>0.024396604881225952</v>
      </c>
      <c r="E8" s="90">
        <v>0.03553727362452167</v>
      </c>
    </row>
    <row r="33">
      <c r="A33" s="94" t="s">
        <v>45</v>
      </c>
      <c r="B33" s="95"/>
      <c r="C33" s="95"/>
      <c r="D33" s="95"/>
      <c r="E33" s="95"/>
      <c r="F33" s="95"/>
      <c r="G33" s="95"/>
      <c r="H33" s="95"/>
      <c r="I33" s="95"/>
      <c r="J33" s="95"/>
      <c r="K33" s="95"/>
      <c r="L33" s="95"/>
      <c r="M33" s="95"/>
      <c r="N33" s="95"/>
      <c r="O33" s="95"/>
      <c r="P33" s="95"/>
      <c r="Q33" s="95"/>
      <c r="R33" s="95"/>
      <c r="S33" s="95"/>
      <c r="T33" s="95"/>
      <c r="U33" s="95"/>
      <c r="V33" s="95"/>
      <c r="W33" s="95"/>
      <c r="X33" s="95"/>
      <c r="Y33" s="95"/>
      <c r="Z33" s="95"/>
    </row>
    <row r="34">
      <c r="A34" s="24" t="s">
        <v>57</v>
      </c>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7">
      <c r="A37" s="96" t="s">
        <v>58</v>
      </c>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9">
      <c r="A39" s="1" t="s">
        <v>48</v>
      </c>
    </row>
    <row r="40">
      <c r="A40" s="1" t="s">
        <v>49</v>
      </c>
    </row>
    <row r="41">
      <c r="A41" s="1" t="s">
        <v>59</v>
      </c>
    </row>
    <row r="42">
      <c r="A42" s="1" t="s">
        <v>60</v>
      </c>
    </row>
  </sheetData>
  <mergeCells count="1">
    <mergeCell ref="A1:Z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75"/>
  </cols>
  <sheetData>
    <row r="1">
      <c r="A1" s="98" t="s">
        <v>61</v>
      </c>
      <c r="B1" s="98"/>
      <c r="C1" s="98"/>
      <c r="D1" s="98"/>
      <c r="E1" s="98"/>
      <c r="F1" s="98"/>
      <c r="G1" s="98"/>
      <c r="H1" s="98"/>
      <c r="I1" s="98"/>
      <c r="J1" s="98"/>
      <c r="K1" s="98"/>
      <c r="L1" s="98"/>
      <c r="M1" s="98"/>
      <c r="N1" s="98"/>
      <c r="O1" s="98"/>
      <c r="P1" s="98"/>
      <c r="Q1" s="98"/>
      <c r="R1" s="98"/>
      <c r="S1" s="98"/>
      <c r="T1" s="98"/>
      <c r="U1" s="98"/>
      <c r="V1" s="98"/>
      <c r="W1" s="98"/>
      <c r="X1" s="98"/>
      <c r="Y1" s="98"/>
      <c r="Z1" s="98"/>
    </row>
    <row r="2">
      <c r="A2" s="34" t="s">
        <v>62</v>
      </c>
      <c r="B2" s="34"/>
      <c r="C2" s="34"/>
      <c r="D2" s="34"/>
      <c r="E2" s="34"/>
      <c r="F2" s="34"/>
      <c r="G2" s="34"/>
      <c r="H2" s="34"/>
      <c r="I2" s="34"/>
      <c r="J2" s="34"/>
      <c r="K2" s="34"/>
      <c r="L2" s="34"/>
      <c r="M2" s="34"/>
      <c r="N2" s="34"/>
      <c r="O2" s="34"/>
      <c r="P2" s="34"/>
      <c r="Q2" s="34"/>
      <c r="R2" s="34"/>
      <c r="S2" s="34"/>
      <c r="T2" s="34"/>
      <c r="U2" s="34"/>
      <c r="V2" s="34"/>
      <c r="W2" s="34"/>
      <c r="X2" s="34"/>
      <c r="Y2" s="34"/>
      <c r="Z2" s="34"/>
    </row>
  </sheetData>
  <drawing r:id="rId1"/>
</worksheet>
</file>